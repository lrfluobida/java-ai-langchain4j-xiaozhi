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\JAVA\java-ai-langchain4j\test-output\"/>
    </mc:Choice>
  </mc:AlternateContent>
  <xr:revisionPtr revIDLastSave="0" documentId="13_ncr:1_{DABADD8A-6E7A-4D46-9884-70D1F8F5B302}" xr6:coauthVersionLast="47" xr6:coauthVersionMax="47" xr10:uidLastSave="{00000000-0000-0000-0000-000000000000}"/>
  <bookViews>
    <workbookView xWindow="-108" yWindow="-108" windowWidth="23256" windowHeight="12576" activeTab="1" xr2:uid="{9FB332FD-4E69-41AC-898D-45A0CB931771}"/>
  </bookViews>
  <sheets>
    <sheet name="Summary" sheetId="2" r:id="rId1"/>
    <sheet name="QA Review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48576" i="1" l="1"/>
  <c r="B7" i="2" s="1"/>
  <c r="B14" i="2"/>
  <c r="B13" i="2"/>
  <c r="B12" i="2"/>
  <c r="B11" i="2"/>
  <c r="B10" i="2"/>
  <c r="B9" i="2"/>
  <c r="B6" i="2"/>
  <c r="B5" i="2"/>
  <c r="B4" i="2"/>
  <c r="B3" i="2"/>
  <c r="B2" i="2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<sst xmlns="http://schemas.openxmlformats.org/spreadsheetml/2006/main" count="791" uniqueCount="469">
  <si>
    <t>用例ID</t>
  </si>
  <si>
    <t>问题</t>
  </si>
  <si>
    <t>问题类型</t>
  </si>
  <si>
    <t>标准答案_关键点</t>
  </si>
  <si>
    <t>关联知识文件</t>
  </si>
  <si>
    <t>memoryId</t>
  </si>
  <si>
    <t>系统回答</t>
  </si>
  <si>
    <t>是否命中知识库</t>
  </si>
  <si>
    <t>自动判定</t>
  </si>
  <si>
    <t>自动得分</t>
  </si>
  <si>
    <t>命中关键点数</t>
  </si>
  <si>
    <t>关键点总数</t>
  </si>
  <si>
    <t>命中关键词</t>
  </si>
  <si>
    <t>人工复核结果</t>
  </si>
  <si>
    <t>人工复核得分</t>
  </si>
  <si>
    <t>人工判定说明</t>
  </si>
  <si>
    <t>备注</t>
  </si>
  <si>
    <t>QA-001</t>
  </si>
  <si>
    <t>头痛应该挂什么科？</t>
  </si>
  <si>
    <t>科室推荐</t>
  </si>
  <si>
    <t>神经内科；结合症状判断</t>
  </si>
  <si>
    <t>科室信息.md</t>
  </si>
  <si>
    <t>头痛通常建议首先挂 **神经内科**。 如果伴有以下情况，也可考虑相应科室： - 头部外伤史 → **神经外科** - 视力问题或眼痛 → **眼科** - 鼻塞、流脓涕、面部胀痛 → **耳鼻喉科** - 血压明显升高 → **心内科** 初次不明原因的头痛，首选神经内科就诊，医生会根据情况决定是否需要做进一步检查（如头颅CT、MRI等）。 需要我帮您预约神经内科的号吗？😊</t>
  </si>
  <si>
    <t>神经内科</t>
  </si>
  <si>
    <t>QA-002</t>
  </si>
  <si>
    <t>头晕一般建议看什么科？</t>
  </si>
  <si>
    <t>神经内科；必要时进一步分诊</t>
  </si>
  <si>
    <t>头晕通常建议根据具体症状选择科室： - **神经内科**：适合伴有头痛、肢体无力、言语不清等情况，排查脑供血不足、脑卒中等。 - **耳鼻喉科**：如果头晕像“天旋地转”，伴随耳鸣、恶心、听力变化，可能是内耳问题（如耳石症、梅尼埃病）。 - **心内科**：若与心慌、胸闷、血压异常相关，需考虑心血管原因。 - **老年医学科或全科**：老年人不明原因反复头晕，可先看全科进行综合评估。 ⚠️ 如果头晕严重、突发或持续不缓解，建议尽早就医检查。 需要我帮您预约挂号吗？😊</t>
  </si>
  <si>
    <t>QA-003</t>
  </si>
  <si>
    <t>发烧应该挂什么科？</t>
  </si>
  <si>
    <t>内科或发热门诊；视医院设置而定</t>
  </si>
  <si>
    <t>发烧一般建议挂 **发热门诊** 或 **感染内科**。 - 如果伴有咳嗽、喉咙痛、流鼻涕等呼吸道症状，可挂 **呼吸内科**； - 如果是儿童发烧，请挂 **儿科**； - 若发烧持续不退、原因不明，或伴有皮疹、关节痛等其他症状，也可考虑 **内科综合门诊** 或由医生进一步分诊。 ⚠️ 温馨提示：如果体温超过38.5℃、精神状态差、出现抽搐、呼吸急促等情况，建议尽快就医。 需要我帮您查询号源或预约挂号吗？请告诉我就诊人姓名、身份证号、希望就诊的日期和时间段（上午/下午）即可。😊</t>
  </si>
  <si>
    <t>错误</t>
  </si>
  <si>
    <t>QA-004</t>
  </si>
  <si>
    <t>咳嗽咳痰应该挂什么科？</t>
  </si>
  <si>
    <t>呼吸内科</t>
  </si>
  <si>
    <t>您好！咳嗽咳痰通常建议首先挂 **呼吸内科**。 如果伴有以下情况，也可考虑其他科室： - 发热、咽痛明显 → 可考虑 **感染内科** - 咳血、长期吸烟史、体重下降 → 建议尽快至 **呼吸内科** 或 **胸外科** 排查 - 儿童患者 → 可挂 **儿科呼吸专科** 如症状持续超过2周、加重或伴有呼吸困难，请及时线下就诊。需要我帮您查询呼吸内科的号源或预约挂号吗？😊</t>
  </si>
  <si>
    <t>正确</t>
  </si>
  <si>
    <t>QA-005</t>
  </si>
  <si>
    <t>肚子疼一般挂什么科？</t>
  </si>
  <si>
    <t>消化内科；急性剧痛需急诊</t>
  </si>
  <si>
    <t>肚子疼通常建议先挂**消化内科**。如果疼痛剧烈、突发或伴有以下情况，也可能需要考虑其他科室： - 女性下腹痛明显 ➜ **妇科** - 伴有发热、黄疸、呕吐 ➜ **肝胆外科** 或 **普外科** - 儿童腹痛 ➜ **儿科** - 怀疑阑尾炎、肠梗阻等急症 ➜ **急诊科** 如果您不确定具体原因，可以先到**消化内科**就诊，医生会根据症状判断是否需要转诊或进一步检查。必要时请尽快线下就医，以免延误病情。🩺</t>
  </si>
  <si>
    <t>消化内科</t>
  </si>
  <si>
    <t>QA-006</t>
  </si>
  <si>
    <t>胸闷胸痛应该先看哪个科？</t>
  </si>
  <si>
    <t>心内科；严重情况建议急诊</t>
  </si>
  <si>
    <t>您好！胸闷、胸痛可能是多种原因引起的，常见原因包括心脏、肺部、消化系统或肌肉骨骼等问题。为了明确病因，建议您**首先就诊心内科**，排查是否存在心脏相关疾病（如心绞痛、心肌缺血等），这是最需要优先排除的严重情况。 如果心内科检查后未发现明显异常，医生可能会根据您的具体症状，建议您进一步就诊： - **呼吸内科**（如伴有咳嗽、气短） - **消化内科**（如伴有反酸、烧心） - **胸外科** 或 **骨科**（如疼痛与体位、按压有关） ⚠️ 如果胸痛剧烈、持续不缓解、伴随大汗、呼吸困难等症状，请**立即前往急诊科就诊**！ 需要我帮您预约心内科的号吗？</t>
  </si>
  <si>
    <t>心内科</t>
  </si>
  <si>
    <t>QA-007</t>
  </si>
  <si>
    <t>皮肤过敏应该挂什么科？</t>
  </si>
  <si>
    <t>皮肤科</t>
  </si>
  <si>
    <t>皮肤过敏建议挂 **皮肤科**。 如果您出现红斑、瘙痒、皮疹、肿胀等皮肤症状，皮肤科医生可以帮您明确过敏原并给予针对性治疗。若症状严重（如呼吸困难、面部明显肿胀等），请立即前往急诊科就诊。 需要我帮您预约皮肤科的号源吗？😊</t>
  </si>
  <si>
    <t>QA-008</t>
  </si>
  <si>
    <t>牙疼应该挂什么科？</t>
  </si>
  <si>
    <t>口腔科</t>
  </si>
  <si>
    <t>牙疼建议您挂 **口腔科**。 如果您疼痛剧烈、伴有肿胀、发烧，或者张口困难等情况，建议尽快就诊。北京协和医院口腔科可以处理牙痛、牙龈炎、牙周病、智齿发炎等多种口腔问题。 需要我帮您查询近期是否有号源或预约挂号吗？🦷</t>
  </si>
  <si>
    <t>QA-009</t>
  </si>
  <si>
    <t>眼睛不舒服应该挂什么科？</t>
  </si>
  <si>
    <t>眼科</t>
  </si>
  <si>
    <t>眼睛不舒服建议挂 **眼科** 👁️。 常见的眼部不适，比如： - 眼干、眼涩、异物感 - 视力模糊、视物重影 - 眼红、流泪、分泌物增多 - 眼痛、畏光、闪光感等 都属于眼科的诊疗范围。如果症状持续或加重，建议尽早就医检查，以免延误治疗。 需要我帮您预约眼科的号源吗？</t>
  </si>
  <si>
    <t>QA-010</t>
  </si>
  <si>
    <t>耳鸣应该挂什么科？</t>
  </si>
  <si>
    <t>耳鼻喉科</t>
  </si>
  <si>
    <t>耳鸣通常建议挂 **耳鼻喉科（也称五官科）**。 耳鼻喉科医生可以对耳鸣的原因进行初步评估，比如是否与听力下降、耳部感染、耳垢堵塞、噪音暴露或内耳问题等相关。 如果耳鸣伴随以下情况，也建议及时就诊： - 单侧耳鸣 - 突然发生的严重耳鸣 - 伴有头晕、听力骤降或头痛 - 耳鸣持续时间较长（超过一周）且影响生活 需要我帮您查询北京协和医院耳鼻喉科的号源或预约挂号吗？👂</t>
  </si>
  <si>
    <t>QA-011</t>
  </si>
  <si>
    <t>孩子发烧应该挂什么科？</t>
  </si>
  <si>
    <t>儿科；严重情况急诊</t>
  </si>
  <si>
    <t>您好！孩子发烧通常建议挂 **儿科**。如果体温持续高热（如超过39℃）、伴有皮疹、抽搐、精神差、呼吸急促或其他明显不适，建议尽快就诊。 在北京协和医院，您可以预约 **儿科普通号** 或 **儿科发热门诊**（如有开设）。是否需要我帮您查询近期的号源情况或协助预约？😊</t>
  </si>
  <si>
    <t>儿科</t>
  </si>
  <si>
    <t>QA-012</t>
  </si>
  <si>
    <t>老人头晕头痛应该看什么科？</t>
  </si>
  <si>
    <t>神经内科；结合基础病判断</t>
  </si>
  <si>
    <t>老人出现头晕头痛，建议首先就诊 **神经内科**。这类症状可能与脑供血不足、高血压、脑血管疾病、颈椎病或其他神经系统问题有关。 如果协和医院神经内科号源紧张，也可以先到 **老年医学科** 或 **全科医学科（普通内科）** 初步评估，医生会根据情况决定是否需要转诊或进一步检查（如头颅CT、MRI、颈动脉超声等）。 ⚠️ 如果头晕头痛突然加重，伴有以下任一情况，请立即前往急诊： - 意识模糊、言语不清 - 一侧肢体无力或麻木 - 视力突然下降 - 剧烈呕吐或行走不稳 需要我帮您查询神经内科近期的号源或预约挂号吗？</t>
  </si>
  <si>
    <t>QA-013</t>
  </si>
  <si>
    <t>胃不舒服挂什么科？</t>
  </si>
  <si>
    <t>您好！胃不舒服通常建议挂 **消化内科**。 常见的胃部不适症状（如胃痛、反酸、腹胀、恶心等）大多属于消化系统问题，消化内科医生会根据您的具体情况进行问诊，必要时安排胃镜、幽门螺杆菌检测或其他检查。 如果您还不确定具体科室，也可以先到医院的“分诊台”或通过协和医院官方App/小程序进行智能分诊。 需要我帮您预约消化内科的号吗？😊</t>
  </si>
  <si>
    <t>QA-014</t>
  </si>
  <si>
    <t>失眠应该挂什么科？</t>
  </si>
  <si>
    <t>神经内科或心理相关门诊</t>
  </si>
  <si>
    <t>您好！失眠通常建议挂 **神经内科** 或 **心理科（精神科）**，具体可根据您的情况选择： - 如果失眠伴随焦虑、情绪低落、压力大等心理因素，建议挂 **心理科/精神科**； - 如果失眠伴随头痛、头晕、肢体麻木或其他神经系统症状，建议挂 **神经内科**； - 对于长期顽固性失眠，也可以考虑 **睡眠专科门诊**（部分医院设有专门的睡眠障碍门诊）。 在北京协和医院，您可以先选择 **神经内科** 或 **心理医学科** 进行初诊，医生会根据情况决定是否需要进一步检查或转诊。 如需帮您预约挂号，请告诉我： - 您希望就诊的科室（神经内科 / 心理科） - 就诊日期和时间段（上午 / 下午） - 是否有指定医生 我可以帮您查询号源并预约 😊</t>
  </si>
  <si>
    <t>QA-015</t>
  </si>
  <si>
    <t>腰腿疼应该挂什么科？</t>
  </si>
  <si>
    <t>骨科；必要时康复科</t>
  </si>
  <si>
    <t>您好！腰腿疼通常建议首先挂 **骨科** 或 **脊柱外科**。如果医院分科较细，也可以考虑以下科室： - **骨科/脊柱外科**：排查腰椎间盘突出、椎管狭窄、脊柱退行性病变等问题； - **康复医学科**：适合慢性疼痛或术后康复； - **疼痛科**：若以疼痛为主要症状且原因不明确； - **神经内科**：如伴随下肢麻木、无力等神经症状。 在协和医院，多数腰腿痛患者首诊会选择 **骨科**。如果您方便提供更详细的症状（比如疼痛位置、是否放射至腿部、有无外伤史等），我可以帮您更精准地推荐。 需要我帮您查询相关科室的号源或预约挂号吗？</t>
  </si>
  <si>
    <t>骨科</t>
  </si>
  <si>
    <t>QA-016</t>
  </si>
  <si>
    <t>医院地址在哪里？</t>
  </si>
  <si>
    <t>医院信息</t>
  </si>
  <si>
    <t>医院地址；交通方式</t>
  </si>
  <si>
    <t>医院信息.md</t>
  </si>
  <si>
    <t>您好！我是“硅谷小智”，北京协和医院的智能客服，很高兴为您服务！😊 北京协和医院有两个院区，地址如下： - **东单院区**：北京市东城区帅府园一号（邮编：100730） - **西单院区**：北京市西城区大木仓胡同41号（邮编：100032） 🏥 **门诊开放时间**：工作日 8:00 – 17:30 🚑 **急诊**：24小时开放 📞 **服务热线**： - 东单院区：010-69151188 - 西单院区：010-69158100 如需预约挂号、查询科室或医生信息，也可以告诉我，我会尽力协助您！</t>
  </si>
  <si>
    <t>QA-017</t>
  </si>
  <si>
    <t>医院门诊几点开始？</t>
  </si>
  <si>
    <t>门诊开始时间；上午时段</t>
  </si>
  <si>
    <t>北京协和医院门诊通常在**上午8:00**开始，下午门诊一般从**13:30**开始（部分科室可能略有不同）。建议您提前通过医院官方渠道预约挂号，并在就诊当天提早到达，以便完成签到和候诊。 如需了解具体科室的出诊时间或医生排班，也可以告诉我，我会尽力帮您查询 😊</t>
  </si>
  <si>
    <t>QA-018</t>
  </si>
  <si>
    <t>医院下午门诊到几点结束？</t>
  </si>
  <si>
    <t>下午门诊结束时间</t>
  </si>
  <si>
    <t>北京协和医院下午门诊一般到 **17:00** 结束。不过具体科室可能略有不同，建议您提前预约并确认所就诊科室的出诊时间，以免耽误就诊。 如有其他问题，比如挂号、科室推荐等，也欢迎随时告诉我！😊</t>
  </si>
  <si>
    <t>QA-019</t>
  </si>
  <si>
    <t>医院周末有门诊吗？</t>
  </si>
  <si>
    <t>是否开诊；周末安排</t>
  </si>
  <si>
    <t>您好！我是“硅谷小智”，北京协和医院的智能客服，很高兴为您服务 😊 北京协和医院**周末是有门诊的**，但并非所有科室都开放。一般来说： - **周六上午**：多数科室（如内科、外科、妇产科、儿科等）会安排部分专家或普通门诊； - **周六下午及周日**：门诊科室较少，通常只开放急诊或个别重点专科。 建议您提前通过医院官网、官方App或电话查询具体科室的出诊安排，以免跑空。 如果您有想挂的具体科室或医生，也可以告诉我，我可以帮您查询是否有号源或协助预约～</t>
  </si>
  <si>
    <t>QA-020</t>
  </si>
  <si>
    <t>医院节假日可以挂号吗？</t>
  </si>
  <si>
    <t>节假日门诊安排</t>
  </si>
  <si>
    <t>您好！北京协和医院在节假日通常也会开放部分门诊，但具体是否可以挂号、哪些科室开诊，会根据国家法定节假日安排和医院实际排班有所调整。 建议您： - 在节假日期间如需就诊，可提前通过医院官网、“北京协和医院”App 或微信公众号查询当日出诊信息； - 部分科室（如急诊）全年无休，普通门诊和专科门诊可能轮休； - 节假日号源一般会提前放出，热门科室建议尽早预约。 如果您有具体想挂的科室或日期，我可以帮您查询是否有号源 😊</t>
  </si>
  <si>
    <t>QA-021</t>
  </si>
  <si>
    <t>医院的联系电话是多少？</t>
  </si>
  <si>
    <t>联系电话</t>
  </si>
  <si>
    <t>您好！北京协和医院的服务热线如下： - **东单院区**：010-69151188 地址：北京市东城区帅府园一号（邮编：100730） - **西单院区**：010-69158100 地址：北京市西城区大木仓胡同41号（邮编：100032） 📞 门诊时间：工作日 8:00–17:30 🚑 急诊：24小时开放 如有其他就诊或挂号相关问题，我也很乐意为您协助！😊</t>
  </si>
  <si>
    <t>QA-022</t>
  </si>
  <si>
    <t>医院支持线上预约吗？</t>
  </si>
  <si>
    <t>是否支持；预约方式</t>
  </si>
  <si>
    <t>您好！我是“硅谷小智”，北京协和医院的智能客服，很高兴为您服务！😊 是的，北京协和医院支持线上预约挂号。您可以通过我院官方渠道（如官网、官方App或微信公众号）进行预约，也可以在这里告诉我您的就诊需求，我会协助您完成预约流程。 如果您已有明确的科室、就诊日期和时间，也可以直接告诉我，我来帮您查询号源并安排预约。需要试试看吗？</t>
  </si>
  <si>
    <t>QA-023</t>
  </si>
  <si>
    <t>第一次去医院就诊需要带什么？</t>
  </si>
  <si>
    <t>身份证；医保卡；就诊信息</t>
  </si>
  <si>
    <t>您好！欢迎来到北京协和医院，我是您的智能客服“硅谷小智”😊。 第一次来院就诊，建议您携带以下材料，以便顺利挂号和就诊： 1. **有效身份证件**：如身份证、护照等（用于实名制挂号）； 2. **医保卡**（如有）：包括北京医保卡或异地医保备案凭证； 3. **既往病历资料**：如检查报告、化验单、影像片子（X光、CT、MRI等）、出院小结等； 4. **正在服用的药物清单**：有助于医生了解您的用药情况； 5. **联系方式准确的手机号**：用于接收预约、取号、检查结果等通知。 如果您已经在网上预约挂号，请记得在就诊当天**提前到院取号**（可通过自助机或窗口）。 如有其他问题，比如想预约挂号或查询科室信息，也欢迎随时告诉我！</t>
  </si>
  <si>
    <t>身份证；医保卡</t>
  </si>
  <si>
    <t>QA-024</t>
  </si>
  <si>
    <t>医院有没有急诊？</t>
  </si>
  <si>
    <t>是否有急诊；位置或时间</t>
  </si>
  <si>
    <t>有的，北京协和医院设有24小时急诊服务。🏥 如果您或他人出现急症、突发严重症状（如胸痛、呼吸困难、意识不清、大出血等），建议立即前往急诊科就诊，或拨打120寻求急救帮助。 如有其他就诊相关问题，也欢迎随时咨询我！</t>
  </si>
  <si>
    <t>QA-025</t>
  </si>
  <si>
    <t>医院停车方便吗？</t>
  </si>
  <si>
    <t>停车场信息；停车说明</t>
  </si>
  <si>
    <t>您好！我是“硅谷小智”，北京协和医院的智能客服 🌟 关于您的问题：协和医院地处北京市中心，周边交通较为繁忙，院内停车位有限，高峰时段（尤其是上午就诊高峰）停车可能比较紧张。建议您尽量选择公共交通前往。如确需驾车，可考虑周边公共停车场或合作停车点，部分院区也提供预约停车服务。 如果您需要了解具体院区（如东单院区、西单院区等）的停车详情，我可以进一步为您说明～</t>
  </si>
  <si>
    <t>QA-026</t>
  </si>
  <si>
    <t>神经内科主要看哪些问题？</t>
  </si>
  <si>
    <t>科室信息</t>
  </si>
  <si>
    <t>头痛；头晕；脑血管疾病等</t>
  </si>
  <si>
    <t>神经内科.md</t>
  </si>
  <si>
    <t>您好！我是“硅谷小智”，北京协和医院的智能客服，很高兴为您服务！😊 北京协和医院神经内科主要诊治以下几类疾病： - **脑血管病**：如脑梗死、脑出血、短暂性脑缺血发作（TIA）等； - **癫痫与发作性疾病**； - **帕金森病及其他运动障碍疾病**（如肌张力障碍、震颤等）； - **痴呆与认知功能障碍**（如阿尔茨海默病）； - **周围神经病与肌肉疾病**（如吉兰-巴雷综合征、重症肌无力等）； - **中枢神经系统感染与炎症**（如脑炎、多发性硬化等）； - **头痛与头晕**（包括偏头痛、紧张型头痛、眩晕等）； - **睡眠障碍与神经心理相关问题**。 如果您有上述相关症状，建议尽早就诊神经内科。部分疾病需结合影像学（如头颅MRI/CT）或电生理检查（如脑电图、肌电图）进一步明确诊断。 需要我帮您查询神经内科的号源或预约挂号吗？</t>
  </si>
  <si>
    <t>头痛；头晕</t>
  </si>
  <si>
    <t>QA-027</t>
  </si>
  <si>
    <t>消化内科主要看什么病？</t>
  </si>
  <si>
    <t>胃痛；腹泻；消化系统疾病</t>
  </si>
  <si>
    <t>消化内科主要诊治与消化系统相关的疾病，包括但不限于以下几类： - **食管疾病**：如胃食管反流病、食管炎、食管溃疡等 - **胃部疾病**：如胃炎、胃溃疡、功能性消化不良、幽门螺杆菌感染等 - **肠道疾病**：如肠易激综合征、炎症性肠病（克罗恩病、溃疡性结肠炎）、慢性腹泻或便秘等 - **肝胆胰疾病**：如脂肪肝、病毒性肝炎、肝硬化、胆囊炎、胆结石、胰腺炎等 - **其他**：不明原因的腹痛、腹胀、恶心、呕吐、黑便、消瘦等症状的排查 如果您有相关症状，建议尽早到消化内科就诊，必要时可能需要做胃镜、肠镜、腹部超声或血液检查等进一步评估。是否需要帮您预约挂号？😊</t>
  </si>
  <si>
    <t>腹泻</t>
  </si>
  <si>
    <t>QA-028</t>
  </si>
  <si>
    <t>呼吸内科主要诊治哪些症状？</t>
  </si>
  <si>
    <t>咳嗽；气喘；肺部相关问题</t>
  </si>
  <si>
    <t>呼吸内科主要诊治与呼吸系统相关的疾病和症状，常见的包括： - 咳嗽（急性或慢性） - 咳痰、咯血 - 呼吸困难、气短 - 胸痛（与呼吸相关） - 哮喘、慢性阻塞性肺疾病（COPD） - 肺炎、支气管炎、肺结核等感染性疾病 - 间质性肺病、肺栓塞 - 睡眠呼吸暂停综合征 - 肺部结节或肿瘤的初步评估 如果您有上述症状持续不缓解，建议尽早就诊呼吸内科，必要时进行胸部影像学（如胸片或CT）、肺功能等检查。需要我帮您预约呼吸内科的号源吗？🩺</t>
  </si>
  <si>
    <t>咳嗽</t>
  </si>
  <si>
    <t>QA-029</t>
  </si>
  <si>
    <t>心内科主要看什么？</t>
  </si>
  <si>
    <t>胸闷；胸痛；心律失常等</t>
  </si>
  <si>
    <t>心内科（心血管内科）主要诊治与心脏和血管相关的疾病，常见包括： - 高血压 - 冠心病（如心绞痛、心肌梗死） - 心律失常（心跳过快、过慢或不规则） - 心力衰竭 - 心肌炎、心包炎 - 心脏瓣膜病 - 血脂异常（高胆固醇等） - 动脉粥样硬化 如果您有胸闷、胸痛、心悸、气短、头晕等相关症状，建议及时到心内科就诊。是否需要我帮您查询心内科的号源或预约挂号？🫀</t>
  </si>
  <si>
    <t>胸闷；胸痛</t>
  </si>
  <si>
    <t>QA-030</t>
  </si>
  <si>
    <t>骨科通常治疗哪些问题？</t>
  </si>
  <si>
    <t>骨折；关节痛；腰腿痛</t>
  </si>
  <si>
    <t>骨科主要诊治与骨骼、关节、肌肉、韧带、肌腱、神经等相关的问题，常见的包括： - **骨折、脱位**：如手臂、腿、脊柱等部位的骨折或关节脱位 - **关节疾病**：如骨关节炎、类风湿性关节炎、肩周炎等 - **脊柱问题**：如颈椎病、腰椎间盘突出、脊柱侧弯等 - **运动损伤**：如韧带撕裂（如前交叉韧带）、半月板损伤、跟腱断裂等 - **骨质疏松**及其引发的疼痛或骨折 - **先天或后天畸形**：如扁平足、拇外翻、O型腿/X型腿等 - **骨肿瘤或软组织肿瘤**（部分需联合其他科室） 如果您有具体症状或不适，建议尽早就诊骨科进行专业评估。是否需要我帮您查询北京协和医院骨科的号源或预约挂号？🩺</t>
  </si>
  <si>
    <t>骨折</t>
  </si>
  <si>
    <t>QA-031</t>
  </si>
  <si>
    <t>眼科主要处理哪些情况？</t>
  </si>
  <si>
    <t>视力下降；眼痛；眼部炎症</t>
  </si>
  <si>
    <t>眼科主要负责诊断和治疗与眼睛及视觉系统相关的各类疾病和问题，常见包括： - **视力问题**：如近视、远视、散光、老花眼等 - **眼部炎症**：如结膜炎（红眼病）、角膜炎、睑缘炎等 - **眼底疾病**：如糖尿病视网膜病变、黄斑变性、视网膜脱落等 - **青光眼与白内障**：这两种是中老年人常见致盲性眼病 - **干眼症、视疲劳**：尤其在长时间使用电子屏幕人群中高发 - **斜视、弱视**：多见于儿童，需早期干预 - **眼外伤**：如异物入眼、化学灼伤、钝挫伤等 - **眼部肿瘤或先天异常**：较少见但需专业评估 如果您或家人出现视力下降、眼红、眼痛、流泪、视物变形等症状，建议尽早就诊眼科。需要我帮您预约眼科门诊吗？👀</t>
  </si>
  <si>
    <t>QA-032</t>
  </si>
  <si>
    <t>耳鼻喉科看哪些病？</t>
  </si>
  <si>
    <t>耳鸣；鼻炎；咽喉不适</t>
  </si>
  <si>
    <t>耳鼻喉科（也称“耳鼻咽喉头颈外科”）主要诊治以下几类疾病： 👂 **耳部疾病** - 中耳炎、外耳道炎 - 耳鸣、耳聋、听力下降 - 耳眩晕（如梅尼埃病） - 耳部异物、耳外伤 👃 **鼻部疾病** - 鼻炎（过敏性、慢性等） - 鼻窦炎、鼻息肉 - 鼻出血、鼻中隔偏曲 - 嗅觉障碍 🫁 **咽喉及头颈疾病** - 咽炎、扁桃体炎 - 声音嘶哑、声带息肉/结节 - 打鼾、睡眠呼吸暂停综合征 - 喉咙异物感、吞咽困难 - 甲状腺、颈部肿块等头颈部疾病 如果您有以上相关症状，建议及时就诊耳鼻喉科。需要我帮您查询号源或预约挂号吗？😊</t>
  </si>
  <si>
    <t>耳鸣；鼻炎</t>
  </si>
  <si>
    <t>QA-033</t>
  </si>
  <si>
    <t>皮肤科主要看什么问题？</t>
  </si>
  <si>
    <t>过敏；湿疹；皮疹等</t>
  </si>
  <si>
    <t>皮肤科主要诊治与皮肤、毛发、指甲及相关黏膜相关的各类疾病，常见的包括： - **皮肤炎症**：如湿疹、皮炎、接触性皮炎等 - **感染性疾病**：如真菌感染（脚气、体癣）、细菌感染（毛囊炎）、病毒感染（带状疱疹、疣）等 - **过敏性疾病**：如荨麻疹、药疹、过敏性皮炎等 - **痤疮与青春痘** - **色素性疾病**：如白癜风、黄褐斑、雀斑等 - **皮肤肿瘤**：良性（如痣、脂溢性角化）或可疑恶性病变（如黑色素瘤） - **脱发与头皮问题** - **甲病**：如灰指甲、甲沟炎等 如果您有具体症状，也可以告诉我，我可以帮您初步判断是否需要就诊皮肤科 😊。必要时建议尽早就医，由专业医生面诊评估。</t>
  </si>
  <si>
    <t>过敏；湿疹</t>
  </si>
  <si>
    <t>QA-034</t>
  </si>
  <si>
    <t>儿科可以看哪些常见病？</t>
  </si>
  <si>
    <t>发热；咳嗽；腹泻等儿童常见病</t>
  </si>
  <si>
    <t>您好！我是“硅谷小智”，北京协和医院的智能客服，很高兴为您服务。😊 儿科主要诊治0～18岁儿童的各类常见病和多发病，包括但不限于以下几类： - **呼吸系统疾病**：如感冒、咳嗽、支气管炎、肺炎、哮喘等 - **消化系统疾病**：如腹泻、呕吐、腹痛、便秘、消化不良等 - **感染性疾病**：如手足口病、水痘、麻疹、流感、疱疹性咽峡炎等 - **过敏性疾病**：如湿疹、荨麻疹、过敏性鼻炎等 - **生长发育问题**：如营养不良、肥胖、矮小症、性早熟等 - **其他常见问题**：发热、皮疹、睡眠障碍、喂养困难等 ⚠️ 温馨提示：如果孩子症状较重（如持续高热、呼吸困难、精神差、脱水等），建议尽快线下就诊，以免延误病情。 如果您需要为孩子预约儿科门诊，也可以告诉我具体需求，我可以帮您查询号源或安排挂号。</t>
  </si>
  <si>
    <t>发热；咳嗽</t>
  </si>
  <si>
    <t>QA-035</t>
  </si>
  <si>
    <t>口腔科一般能处理哪些问题？</t>
  </si>
  <si>
    <t>牙痛；蛀牙；口腔检查</t>
  </si>
  <si>
    <t>口腔科.md</t>
  </si>
  <si>
    <t>您好！我是硅谷小智，北京协和医院的智能客服😊 很高兴为您服务！ 口腔科主要处理以下常见问题： - **牙体牙髓疾病**：如龋齿（蛀牙）、牙痛、牙髓炎、根尖周炎等 - **牙周疾病**：如牙龈出血、牙周炎、牙龈萎缩等 - **口腔黏膜病**：如口腔溃疡、扁平苔藓、白斑等 - **牙齿拔除**：包括智齿、残根、松动牙等的拔牙手术 - **牙齿修复**：如补牙、嵌体、全冠、活动/固定假牙等 - **牙齿矫正**（部分医院由正畸专科负责） - **口腔颌面部小手术**：如囊肿切除、小肿物处理等 - **儿童口腔问题**：乳牙护理、窝沟封闭、早期矫治等 如果您有具体症状或不确定是否属于口腔科范畴，也可以告诉我，我会帮您初步判断是否需要就诊以及挂哪个细分方向的号哦！🦷</t>
  </si>
  <si>
    <t>牙痛；蛀牙</t>
  </si>
  <si>
    <t>QA-036</t>
  </si>
  <si>
    <t>怎么预约挂号？</t>
  </si>
  <si>
    <t>流程咨询</t>
  </si>
  <si>
    <t>线上/线下预约方式；所需信息</t>
  </si>
  <si>
    <t>您好！我是“硅谷小智”，北京协和医院的智能客服，很高兴为您服务！😊 预约挂号需要提供以下信息： 1. **您的姓名** 2. **身份证号** 3. **想挂的科室名称**（如：心血管内科、皮肤科等） 4. **就诊日期**（格式如：2026-03-15） 5. **时间段**（上午 或 下午） 6. **医生姓名**（可选，若未指定，我可以为您推荐） 请您先告诉我您想挂哪个科室？以及希望就诊的日期和时间段？我会帮您查询是否有号源，并一步步协助完成预约。</t>
  </si>
  <si>
    <t>QA-037</t>
  </si>
  <si>
    <t>预约挂号需要提前多久？</t>
  </si>
  <si>
    <t>预约时间要求；规则说明</t>
  </si>
  <si>
    <t>您好！在北京协和医院，预约挂号一般可提前 **7天** 预约（不含当日）。也就是说，今天是2026年3月11日，您最早可以预约到 **2026年3月18日** 的号源。 ⏰ 放号时间通常为每日 **下午4点** 更新第7天的号源，建议您在放号后尽早操作，热门科室或专家号可能很快约满。 如果您已有明确的就诊需求（如科室、日期等），我可以帮您查询是否有号源或协助预约～ 😊</t>
  </si>
  <si>
    <t>QA-038</t>
  </si>
  <si>
    <t>挂号后还能取消吗？</t>
  </si>
  <si>
    <t>可以取消；取消规则</t>
  </si>
  <si>
    <t>您好！挂号成功后是可以取消的，但需要在就诊日期之前操作。如果您是通过北京协和医院官方渠道（如App、官网或微信公众号）预约的号源，一般在就诊前一日24:00前可以免费取消；逾期未取消可能视为爽约，影响后续预约。 如您现在就需要取消某次预约，请提供以下信息，我可以帮您操作： - 姓名 - 身份证号 - 预约的科室 - 就诊日期（格式如：2026-03-15） - 就诊时间（上午 / 下午） - 医生姓名（如记得） 请放心，我会先核对预约记录，确认后再为您取消。😊</t>
  </si>
  <si>
    <t>可以取消</t>
  </si>
  <si>
    <t>QA-039</t>
  </si>
  <si>
    <t>取消预约要怎么操作？</t>
  </si>
  <si>
    <t>取消入口；取消方式</t>
  </si>
  <si>
    <t>您好！我是“硅谷小智”，北京协和医院的智能客服，很高兴为您服务。😊 要取消预约挂号，请您提供以下信息，以便我们为您核实并操作： 1. **您的姓名** 2. **身份证号** 3. **原预约的科室名称** 4. **预约日期**（例如：2026-03-15） 5. **预约时段**（上午 / 下午） 6. **医生姓名**（如记得的话，可选） 请您先提供上述信息中的**姓名和身份证号**，我将帮您查询相关预约记录。</t>
  </si>
  <si>
    <t>QA-040</t>
  </si>
  <si>
    <t>挂号需要提供哪些信息？</t>
  </si>
  <si>
    <t>姓名；身份证；科室；时间等</t>
  </si>
  <si>
    <t>您好！在“北京协和医院”进行预约挂号时，您需要提供以下**必要信息**： 1. **姓名**（真实姓名，与身份证一致） 2. **身份证号** 3. **就诊科室**（如：心血管内科、皮肤科等） 4. **就诊日期**（格式如：2026-03-15） 5. **就诊时段**（只能选择“上午”或“下午”） 此外，**医生姓名**是可选的。如果您没有指定医生，我可以根据您的需求推荐一位合适的医生。 准备好这些信息后，我可以帮您查询号源并完成预约。😊 请问您现在有明确的就诊需求吗？比如想挂哪个科室？</t>
  </si>
  <si>
    <t>姓名；身份证；科室</t>
  </si>
  <si>
    <t>QA-041</t>
  </si>
  <si>
    <t>预约成功后怎么查看记录？</t>
  </si>
  <si>
    <t>查看方式；查询入口</t>
  </si>
  <si>
    <t>您好！我是“硅谷小智”，北京协和医院的智能客服，很高兴为您服务。😊 关于您的问题：**预约成功后如何查看挂号记录**？ 您可以通过以下几种方式查看预约记录： 1. **微信公众号** 关注“北京协和医院”官方微信公众号 → 点击底部菜单【就诊服务】→【我的预约】，即可查看所有预约记录。 2. **医院官方App** 下载“北京协和医院”App → 登录后进入【我的】→【挂号记录】或【预约记录】查看。 3. **官网查询** 访问北京协和医院官网（https://www.pumch.cn）→ 登录个人账户 → 在“患者服务”中查看预约信息。 4. **现场自助机** 就诊当天，您也可以携带身份证或医保卡，在门诊楼的自助挂号机上刷证查询预约详情。 如需取消或修改预约，也请通过上述渠道操作，或告诉我，我可以协助您取消（需提供预约信息）。 需要我帮您查某次具体的预约吗？</t>
  </si>
  <si>
    <t>QA-042</t>
  </si>
  <si>
    <t>如果没有指定医生可以挂号吗？</t>
  </si>
  <si>
    <t>可以按科室挂号；系统推荐医生</t>
  </si>
  <si>
    <t>可以的！如果您没有指定具体的医生，我们可以根据您选择的科室、日期和时间段，为您推荐一位有号源的医生进行挂号。😊 不过为了顺利完成预约，还需要您提供以下信息： - 姓名 - 身份证号 - 科室名称 - 就诊日期（例如：2026-03-15） - 时间段（上午 或 下午） 如果您已经准备好这些信息，我可以帮您查询号源并安排挂号。需要现在试试吗？</t>
  </si>
  <si>
    <t>QA-043</t>
  </si>
  <si>
    <t>预约挂号支持选择上午下午吗？</t>
  </si>
  <si>
    <t>支持时间段选择；规则说明</t>
  </si>
  <si>
    <t>您好！是的，北京协和医院的预约挂号支持选择“上午”或“下午”时间段。在预约时，您需要明确指定就诊日期和时间段（上午 / 下午），以便系统为您匹配合适的号源。 如果您已有具体科室、日期和时间偏好，我可以帮您查询是否有号源，或者协助完成预约。需要我帮您操作吗？😊</t>
  </si>
  <si>
    <t>QA-044</t>
  </si>
  <si>
    <t>错过预约时间怎么办？</t>
  </si>
  <si>
    <t>重新预约；咨询医院规则</t>
  </si>
  <si>
    <t>您好！如果您错过了在北京协和医院的预约时间，通常该次预约会自动作废。不过别担心，您可以采取以下措施： 1. **重新预约**：登录协和医院官方App、微信小程序或官网，重新选择合适的时间进行挂号。 2. **当日是否还能就诊**：部分科室可能有临时加号或退号释放的资源，建议您尽快联系医院服务台（电话：010-69156114）或前往门诊咨询处询问。 3. **爽约影响**：请注意，多次无故爽约可能会影响您未来一段时间内的预约资格。 如需我帮您重新预约，请告诉我： - 您的姓名 - 身份证号 - 想挂的科室 - 希望就诊的日期和时间段（上午/下午） 我会尽力协助您安排新的号源 😊</t>
  </si>
  <si>
    <t>重新预约</t>
  </si>
  <si>
    <t>QA-045</t>
  </si>
  <si>
    <t>预约后可以改时间吗？</t>
  </si>
  <si>
    <t>是否支持改约；处理方式</t>
  </si>
  <si>
    <t>您好！在“北京协和医院”预约挂号后，**不能直接修改就诊时间**。如果您需要更换时间，需要先**取消原预约**，再重新预约新的时间段。 需要注意的是： - 请至少在就诊前 **1天** 完成取消操作，以免影响信用记录； - 号源紧张的科室或专家号，重新预约时可能已无号，请提前规划。 如果您需要帮助取消当前预约或查询新时间段的号源，可以告诉我您的预约信息（姓名、身份证号、科室、原预约日期和时间），我会协助您处理。🕒</t>
  </si>
  <si>
    <t>QA-046</t>
  </si>
  <si>
    <t>神经内科上午有门诊吗？</t>
  </si>
  <si>
    <t>门诊排班</t>
  </si>
  <si>
    <t>是否开诊；时间安排</t>
  </si>
  <si>
    <t>您好！北京协和医院神经内科今天（2026年3月11日）上午有门诊号源，可以预约就诊。 如果您需要挂号，请提供以下信息，我将协助您完成预约： - 您的姓名 - 身份证号 - 是否有指定医生（如无，我可以为您推荐） 是否现在进行预约？😊</t>
  </si>
  <si>
    <t>QA-047</t>
  </si>
  <si>
    <t>周五下午还有神经内科的门诊吗？</t>
  </si>
  <si>
    <t>周五下午安排；是否开诊</t>
  </si>
  <si>
    <t>您好！您想了解本周五（2026年3月14日）下午神经内科是否有门诊号源，我可以帮您查询。 好消息！本周五（2026年3月14日）下午，北京协和医院神经内科有门诊号源 ✅。 如果您需要预约挂号，请提供以下信息： - 您的姓名 - 身份证号 （如果您有指定医生也可以告诉我，如果没有，我可以为您推荐一位合适的医生。）</t>
  </si>
  <si>
    <t>QA-048</t>
  </si>
  <si>
    <t>王医生什么时候出诊？</t>
  </si>
  <si>
    <t>出诊时间；所属科室</t>
  </si>
  <si>
    <t>请问您指的是哪一科室的王医生呢？协和医院有多位姓“王”的医生，如果您能提供更具体的信息（例如科室或全名），我可以帮您查询出诊时间。😊</t>
  </si>
  <si>
    <t>出诊时间</t>
  </si>
  <si>
    <t>QA-049</t>
  </si>
  <si>
    <t>专家号和普通号有什么区别？</t>
  </si>
  <si>
    <t>号别区别；适用场景</t>
  </si>
  <si>
    <t>您好！😊在协和医院，**专家号**和**普通号**主要有以下几点区别： ### 1. **医生资历不同** - **普通号**：由主治医师或高年资住院医师接诊，适合常见病、慢性病复诊或初步检查。 - **专家号**：由副主任医师、主任医师等高级职称专家接诊，临床经验更丰富，适合疑难杂症、复杂病情或需要权威诊断的情况。 ### 2. **挂号费用不同** - 专家号的挂号费通常高于普通号（例如：普通号约10–50元，专家号可能从100元到400元不等，具体依职称和科室而定）。 ### 3. **候诊时间** - 普通号患者较多，但号源相对充足； - 专家号号源紧张，可能需要提前预约，但每位患者就诊时间通常更充分。 ### 4. **适合人群** - 初次就诊、症状不明确或病情较轻者，可先挂**普通号**； - 病情复杂、久治不愈、需多学科会诊者，建议挂**专家号**。 如果您有具体症状或科室需求，我可以帮您判断更适合挂哪一类号，或者协助预约哦！🩺</t>
  </si>
  <si>
    <t>QA-050</t>
  </si>
  <si>
    <t>预约时能自己选医生吗？</t>
  </si>
  <si>
    <t>是否可选医生；规则说明</t>
  </si>
  <si>
    <t>您好！在预约挂号时，**是可以自己选择医生的**。如果您已有明确想挂的医生姓名，可以直接提供；如果没有指定，我也可以根据您选择的科室和就诊时间，为您推荐一位有号源的医生供您参考。 是否现在就开始预约？如果需要，请告诉我以下信息： - 您的姓名 - 身份证号 - 想挂的科室 - 就诊日期（如：2026-03-15） - 上午 or 下午 - （可选）医生姓名 我会先帮您查询是否有号源，再进行预约 😊</t>
  </si>
  <si>
    <t>QA-051</t>
  </si>
  <si>
    <t>医院支持医保吗？</t>
  </si>
  <si>
    <t>就诊政策</t>
  </si>
  <si>
    <t>是否支持医保；使用说明</t>
  </si>
  <si>
    <t>您好！北京协和医院是支持医保的，包括北京市基本医疗保险（含职工医保、居民医保）以及全国异地就医直接结算。就诊时请务必携带您的医保卡或电子医保凭证，以便在挂号、缴费等环节正常使用。 如果您有具体的就诊或报销问题，也可以告诉我，我会尽力为您解答！😊</t>
  </si>
  <si>
    <t>QA-052</t>
  </si>
  <si>
    <t>就诊时需要带医保卡吗？</t>
  </si>
  <si>
    <t>医保卡；身份证；就诊凭证</t>
  </si>
  <si>
    <t>您好！就诊时**建议携带医保卡**，原因如下： - 如果您有北京医保（或其他已开通异地就医的医保），在挂号或缴费时出示医保卡可以**直接医保结算**，节省费用； - 即使是自费患者，部分检查、药品或后续报销也可能需要医保卡信息； - 若未带医保卡，可能需先全额自费支付，之后再回医保部门手工报销，流程较繁琐。 所以为了方便和节省费用，**请务必带上实体医保卡或确保已激活电子医保凭证**（如通过“国家医保服务平台”App 或 支付宝/微信中的医保电子凭证）。 如有其他就诊流程问题，也欢迎随时问我！😊</t>
  </si>
  <si>
    <t>医保卡</t>
  </si>
  <si>
    <t>QA-053</t>
  </si>
  <si>
    <t>没有医保可以挂号吗？</t>
  </si>
  <si>
    <t>可以；按自费流程处理</t>
  </si>
  <si>
    <t>您好！没有医保也是可以挂号的，北京协和医院支持自费患者就诊。您只需携带有效身份证件（如身份证）即可正常预约和挂号。 不过需要注意的是，自费患者的挂号费用需全额支付，且部分检查或药品可能无法享受医保报销。如果您后续办理了医保，也可以在就诊时咨询收费窗口是否可补录医保信息（视政策而定）。 需要我帮您预约挂号吗？😊</t>
  </si>
  <si>
    <t>可以</t>
  </si>
  <si>
    <t>QA-054</t>
  </si>
  <si>
    <t>儿童挂号需要什么证件？</t>
  </si>
  <si>
    <t>儿童身份信息；监护人信息</t>
  </si>
  <si>
    <t>您好！为儿童在北京协和医院挂号时，通常需要以下证件： 1. **患儿本人的身份证**（如有）； - 如果尚未办理身份证，可使用**户口本**或**出生医学证明**； 2. **监护人（陪同家长）的有效身份证件**（如身份证）； 3. 首次就诊建议携带**医保卡**（如有）或办理院内就诊卡。 📌 温馨提示：线上预约时，需填写患儿的真实姓名和身份证号（或户口本上的身份信息）。如无身份证号，部分系统可能允许使用监护人信息代注册，但现场就诊时仍需核对患儿身份。 如有其他问题，欢迎继续咨询！😊</t>
  </si>
  <si>
    <t>监护人信息</t>
  </si>
  <si>
    <t>QA-055</t>
  </si>
  <si>
    <t>帮家人预约挂号需要准备什么？</t>
  </si>
  <si>
    <t>家人身份信息；预约资料</t>
  </si>
  <si>
    <t>您好！我是“硅谷小智”，北京协和医院的智能客服，很高兴为您服务 😊 帮家人预约挂号时，您需要提前准备好以下信息： 1. **家人的姓名**（与身份证一致） 2. **家人的身份证号** 3. **想挂的科室名称**（例如：心血管内科、皮肤科等） 4. **就诊日期**（格式如：2026-03-15） 5. **就诊时段**（上午 或 下午） 6. **医生姓名**（可选，若不确定，我可以为您推荐） 只要信息齐全，我就可以帮您查询号源并完成预约。如果您已经准备好了这些信息，也可以直接告诉我，我会一步步协助您完成挂号 💡 需要现在就开始预约吗？</t>
  </si>
  <si>
    <t>QA-056</t>
  </si>
  <si>
    <t>医院支持退号吗？</t>
  </si>
  <si>
    <t>支持与否；退号规则</t>
  </si>
  <si>
    <t>您好！我是“硅谷小智”，北京协和医院的智能客服，很高兴为您服务。😊 关于您的问题：**北京协和医院是支持退号（取消预约）的**。 如果您通过官方渠道（如医院App、官网、微信公众号等）进行了预约挂号，在就诊前一般都可以申请取消预约。建议您： - **至少提前1天取消**，以免影响信用记录； - 当日号源通常不可退，请以具体提示为准； - 取消后，挂号费一般会在几个工作日内原路退回。 如果您需要我帮您**查询或取消某次具体的预约**，请提供以下信息： - 姓名 - 身份证号 - 预约科室 - 就诊日期和时间段（上午/下午） - 医生姓名（如有） 我可以协助您操作取消预约。是否需要现在处理？</t>
  </si>
  <si>
    <t>QA-057</t>
  </si>
  <si>
    <t>退号会不会收手续费？</t>
  </si>
  <si>
    <t>是否收费；收费规则</t>
  </si>
  <si>
    <t>您好！在北京协和医院，如果您需要取消（退号）已预约的挂号，在就诊日前一天24点前取消一般**不收取手续费**；若在就诊当日取消，则可能视为爽约，部分情况会影响后续预约权限，但通常也不会直接收取费用。 建议您如需取消预约，请尽早操作。如有具体预约信息，我也可以帮您查询或协助取消。</t>
  </si>
  <si>
    <t>QA-058</t>
  </si>
  <si>
    <t>医院可以现场挂号吗？</t>
  </si>
  <si>
    <t>是否支持现场挂号；排队方式</t>
  </si>
  <si>
    <t>您好！我是“硅谷小智”，北京协和医院的智能客服，很高兴为您服务 😊 关于您的问题：北京协和医院**部分科室支持现场挂号**，但号源非常有限，且通常需要**早起排队**。为了节省您的时间并确保顺利就诊，**强烈建议您提前通过官方渠道（如114平台、协和医院App或微信公众号）进行预约挂号**。 如果您已有明确的就诊科室和时间，我也可以帮您查询是否有号源或协助预约。需要试试看吗？</t>
  </si>
  <si>
    <t>QA-059</t>
  </si>
  <si>
    <t>线上预约和现场挂号有什么区别？</t>
  </si>
  <si>
    <t>预约方式差异；效率区别</t>
  </si>
  <si>
    <t>您好！线上预约和现场挂号主要有以下几点区别： 1. **排队时间** - **线上预约**：可提前在手机或电脑上选择具体日期、时间段和医生，到院后按预约时间就诊，大幅减少现场等待时间。 - **现场挂号**：需当天到医院排队，热门科室可能号源紧张，甚至挂不上号。 2. **号源情况** - 部分专家号源**仅开放线上预约**，现场不放号。 - 线上通常提前1~7天放号（协和多数科室为提前7天晚8点放号）。 3. **便利性** - 线上可随时查看医生出诊信息、剩余号源，并支持取消或改约（需在规定时间内）。 - 现场挂号受医院开窗时间和人流影响，灵活性较低。 4. **适合人群** - 初诊、复诊、慢性病随访等**非紧急情况**，推荐线上预约。 - 急诊或突发症状建议直接前往急诊科，不适用于预约流程。 如果您需要帮您预约挂号，我可以协助查询号源并完成预约哦！😊</t>
  </si>
  <si>
    <t>QA-060</t>
  </si>
  <si>
    <t>预约挂号成功后需要提前多久到医院？</t>
  </si>
  <si>
    <t>建议到院时间；签到要求</t>
  </si>
  <si>
    <t>您好！预约挂号成功后，建议您 **提前30分钟** 到达医院，以便完成以下事项： - 取号（如未在手机端完成电子取号） - 缴费（如需预缴挂号费） - 完成必要的分诊或签到流程 - 避免因排队或找科室耽误就诊时间 部分科室（如特需门诊、国际医疗部）可能有不同要求，具体以挂号成功后的提示为准。如有其他就诊流程问题，也欢迎随时问我！😊</t>
  </si>
  <si>
    <t>QA-061</t>
  </si>
  <si>
    <t>头痛伴恶心应该优先挂什么科？</t>
  </si>
  <si>
    <t>症状咨询</t>
  </si>
  <si>
    <t>神经内科；必要时急诊</t>
  </si>
  <si>
    <t>您好！头痛伴恶心可能涉及多种病因，建议您优先考虑以下科室： - **神经内科**：如果头痛为首次发作、持续加重、伴有视力模糊、肢体麻木、意识改变等症状，可能与偏头痛、紧张性头痛、颅内病变等相关，应首选神经内科。 - **急诊科**：如果头痛突然剧烈发作（如“雷击样”头痛）、伴有高热、呕吐、颈强直或意识障碍，需警惕脑出血、脑膜炎等急症，请立即前往急诊科就诊。 - **耳鼻喉科或眼科**：若头痛与鼻塞、流脓涕相关，可能是鼻窦炎；若与眼压升高、视力下降有关，可能为青光眼等，也可相应就诊。 ⚠️ 如果症状严重或持续不缓解，建议尽快线下就医，必要时完善头颅CT/MRI等检查。 需要我帮您预约挂号吗？</t>
  </si>
  <si>
    <t>QA-062</t>
  </si>
  <si>
    <t>长期胃胀胃痛应该看哪个科？</t>
  </si>
  <si>
    <t>您好！长期胃胀、胃痛通常建议就诊 **消化内科**。这类症状可能与胃炎、胃溃疡、功能性消化不良、幽门螺杆菌感染或其他消化系统疾病有关。 💡 建议您： - 尽早就医，避免自行用药掩盖病情； - 就诊前注意饮食清淡，避免刺激性食物； - 如有体重下降、黑便、呕吐等症状，请务必及时告知医生。 需要我帮您查询北京协和医院消化内科的号源或预约挂号吗？</t>
  </si>
  <si>
    <t>QA-063</t>
  </si>
  <si>
    <t>持续咳嗽两周应该挂什么科？</t>
  </si>
  <si>
    <t>持续咳嗽超过两周，建议您首先挂 **呼吸内科**。 长期咳嗽可能与以下情况有关： - 慢性支气管炎 - 哮喘 - 肺部感染（如肺炎、肺结核） - 胃食管反流 - 过敏或其他免疫相关疾病 如果伴有以下症状，请尽快就医： ⚠️ 发热、咳血、胸痛、呼吸困难、体重明显下降等。 协和医院的呼吸内科可以进行肺功能检查、胸部影像学（如X光或CT）等进一步评估。需要我帮您查询近期号源或预约挂号吗？</t>
  </si>
  <si>
    <t>QA-064</t>
  </si>
  <si>
    <t>心慌胸闷一般建议看什么科？</t>
  </si>
  <si>
    <t>心慌、胸闷等症状通常建议首先就诊 **心血管内科（心内科）**，因为这些症状可能与心脏相关的问题有关，比如心律失常、心肌缺血、高血压等。 但也有一些其他可能性，例如： - 如果伴有明显焦虑、紧张、失眠等情况，也可能涉及 **心理科或神经内科**； - 若有呼吸困难、咳嗽等表现，还需考虑 **呼吸内科**。 📌 **建议**：如果症状持续、频繁发作或加重，尤其是伴随胸痛、出汗、晕厥等情况，请尽快到医院心内科就诊，必要时做心电图、心脏超声等检查。 需要我帮您预约心内科的号源吗？</t>
  </si>
  <si>
    <t>QA-065</t>
  </si>
  <si>
    <t>皮肤起红疹应该看哪个科？</t>
  </si>
  <si>
    <t>皮肤起红疹建议您挂 **皮肤科**（也称“ dermatology ”）就诊。 红疹可能由多种原因引起，比如过敏、感染、自身免疫反应或其他系统性疾病的表现。皮肤科医生会根据皮疹的形态、分布、伴随症状（如瘙痒、疼痛、发热等）进行判断，必要时可能会安排皮肤镜检查、过敏原检测或血液检查等。 如果红疹伴有以下情况，建议尽快就医： - 快速扩散或加重 - 伴随高热、呼吸困难、面部肿胀等全身症状 - 出现水疱、溃烂或剧烈疼痛 需要我帮您查询北京协和医院皮肤科的号源或预约挂号吗？😊</t>
  </si>
  <si>
    <t>QA-066</t>
  </si>
  <si>
    <t>眼睛发红流泪应该挂什么科？</t>
  </si>
  <si>
    <t>您好！眼睛发红、流泪通常属于眼科的诊疗范围，建议您挂 **眼科**。 这种情况可能由多种原因引起，比如： - 结膜炎（红眼病） - 干眼症 - 过敏反应 - 异物刺激 - 角膜炎等 如果伴有明显疼痛、视力下降、畏光或分泌物增多，建议尽快就医。协和医院眼科可以提供专业检查和治疗。 需要我帮您查询近期眼科是否有号源，或协助预约挂号吗？👀</t>
  </si>
  <si>
    <t>QA-067</t>
  </si>
  <si>
    <t>鼻塞流涕挂什么科？</t>
  </si>
  <si>
    <t>您好！鼻塞、流涕通常是耳鼻喉科（也称“耳鼻咽喉科”）的常见症状，建议您挂 **耳鼻喉科**。 如果还伴有发热、咳嗽等全身症状，也可以考虑先看 **呼吸内科** 或 **发热门诊**（尤其在流感高发季节）。 需要我帮您预约耳鼻喉科的号吗？😊</t>
  </si>
  <si>
    <t>QA-068</t>
  </si>
  <si>
    <t>关节疼痛应该看哪个科？</t>
  </si>
  <si>
    <t>骨科或风湿相关科室</t>
  </si>
  <si>
    <t>关节疼痛通常建议首先就诊 **风湿免疫科** 或 **骨科**，具体可根据症状特点选择： - 如果关节疼痛伴有 **红肿、晨僵、多关节对称性疼痛**，或怀疑有 **类风湿关节炎、系统性红斑狼疮** 等自身免疫性疾病，建议挂 **风湿免疫科**。 - 如果是 **外伤后疼痛、关节活动受限、关节变形或退行性改变（如骨关节炎）**，建议挂 **骨科**。 如果您不确定，也可以先到医院的 **分诊台** 或通过协和医院官方App进行智能分诊。需要我帮您预约挂号吗？</t>
  </si>
  <si>
    <t>QA-069</t>
  </si>
  <si>
    <t>孩子腹泻应该挂哪个科？</t>
  </si>
  <si>
    <t>孩子腹泻建议挂 **儿科** 或 **小儿消化科**（如果医院设有细分专科）。 在北京协和医院，您可以选择： - **儿科普通门诊**：适用于大多数儿童常见病，包括急性腹泻； - 如腹泻持续时间较长、伴有发热、血便、严重脱水等情况，医生可能会进一步安排检查或转诊至相关专科。 💡温馨提示： 如果孩子精神状态差、尿量明显减少、口唇干燥等，可能存在脱水风险，请尽快线下就诊。 需要我帮您查询儿科近期是否有号源，或者协助预约挂号吗？</t>
  </si>
  <si>
    <t>QA-070</t>
  </si>
  <si>
    <t>牙龈肿痛应该挂什么科？</t>
  </si>
  <si>
    <t>您好！牙龈肿痛通常建议挂 **口腔科**，具体可选择 **口腔内科** 或 **牙周病专科**（如有细分）。 这类症状可能由以下原因引起： - 牙龈炎或牙周炎 - 智齿冠周炎 - 龋齿继发感染 - 口腔卫生不良等 💡建议您尽早就诊，医生会通过临床检查（必要时拍片）明确病因，并给予相应治疗（如洁治、消炎或拔牙等）。 如需我帮您预约北京协和医院口腔科的号源，请告诉我您的姓名、身份证号、希望就诊的日期和时间段（上午/下午），我会为您查询并协助挂号。</t>
  </si>
  <si>
    <t>QA-071</t>
  </si>
  <si>
    <t>知识库里有医院科室分布信息吗？</t>
  </si>
  <si>
    <t>知识库检索</t>
  </si>
  <si>
    <t>有无相关文档；可查询科室分布</t>
  </si>
  <si>
    <t>您好！目前知识库中包含部分科室信息，例如： **其他科室**： - 妇产科 - 眼科 - 耳鼻喉科 - 口腔科 - 超声医学科 - 病理科 - 检验科 - 放射科 - 放射治疗科 - 核医学科 - 输血科 - 药剂科 - 病案科 - 国际医疗部 - 健康医学部（体检中心） - 临床药理研究中心 如果您需要了解具体某科室的位置、出诊时间或挂号方式，欢迎告诉我，我会尽力为您查询或提供指引！😊</t>
  </si>
  <si>
    <t>QA-072</t>
  </si>
  <si>
    <t>知识库里能查到神经内科介绍吗？</t>
  </si>
  <si>
    <t>可以；神经内科职责与诊疗范围</t>
  </si>
  <si>
    <t>当然可以！以下是北京协和医院神经内科的详细介绍： 🧠 **神经内科简介** 北京协和医院神经内科是国内最早成立的神经病学专科之一，具有悠久的历史和雄厚的临床、科研及教学实力。科室在神经系统常见病、疑难病和罕见病的诊治方面处于国内领先、国际先进水平。 📍 **诊疗范围包括但不限于**： - 脑血管病（如脑梗死、脑出血） - 癫痫与发作性疾病 - 神经变性疾病（如帕金森病、阿尔茨海默病） - 多发性硬化与脱髓鞘疾病 - 周围神经病与肌病 - 头痛与眩晕 - 神经遗传与罕见病 👩‍⚕️ **专家团队** 科室拥有多位国家级知名专家和教授，长期致力于神经系统疾病的精准诊断与个体化治疗，并设有多个专病门诊（如帕金森病门诊、癫痫门诊、头痛门诊等）。 🕒 **就诊提示** 建议首次就诊患者携带既往检查资料（如头颅MRI/CT、脑电图、肌电图等），以便医生更高效地评估病情。 如果您需要预约神经内科门诊或了解号源情况，也可以告诉我具体日期和时间段，我可以帮您查询是否有可挂号源。</t>
  </si>
  <si>
    <t>QA-073</t>
  </si>
  <si>
    <t>医院信息文档里有门诊时间吗？</t>
  </si>
  <si>
    <t>有；包含门诊时间</t>
  </si>
  <si>
    <t>您好！我是“硅谷小智”，北京协和医院的智能客服。😊 关于您询问的门诊时间，北京协和医院的常规门诊时间如下： - **上午门诊**：08:00 – 12:00 - **下午门诊**：13:30 – 17:00 &gt; ⏰ 温馨提示： &gt; - 各科室具体出诊时间可能略有不同，建议以挂号系统或官网公布的当日号源为准。 &gt; - 节假日及周末部分科室可能停诊或仅开放特需/国际医疗部，请提前查询。 如果您需要查询某个科室在特定日期是否有号源，我可以帮您实时查看。需要吗？</t>
  </si>
  <si>
    <t>有</t>
  </si>
  <si>
    <t>QA-074</t>
  </si>
  <si>
    <t>知识库支持查询挂号流程吗？</t>
  </si>
  <si>
    <t>支持；挂号须知相关内容</t>
  </si>
  <si>
    <t>您好！我是“硅谷小智”，北京协和医院的智能客服。😊 关于挂号流程，我可以为您提供清晰的指引。北京协和医院目前支持以下几种挂号方式： 1. **线上预约**（推荐）： - 通过“北京协和医院”官方App、微信小程序或114平台提前预约。 - 可预约未来7天内的号源（含当日）。 - 需实名认证（姓名+身份证号）。 2. **现场挂号**： - 门诊大厅自助机或人工窗口挂号（号源有限，建议早到）。 - 仅开放当日号源，部分热门科室可能很快挂满。 3. **特需/国际医疗部**： - 号源相对宽松，费用较高，可通过App或电话预约。 就诊当天请携带： - 身份证原件 - 医保卡（如使用医保） - 预约成功短信或二维码 如果您需要我帮您**查询具体科室的号源**或**进行预约挂号**，也可以直接告诉我您的需求哦！ 请问您想了解哪一类挂号流程？或者需要我协助预约吗？</t>
  </si>
  <si>
    <t>支持</t>
  </si>
  <si>
    <t>QA-075</t>
  </si>
  <si>
    <t>可以从知识库里查到医生信息吗？</t>
  </si>
  <si>
    <t>若有医生排班文档则可查询</t>
  </si>
  <si>
    <t>请求失败</t>
  </si>
  <si>
    <t>The remote server returned an error: (500) Internal Server Error.</t>
  </si>
  <si>
    <t>接口调用失败</t>
  </si>
  <si>
    <t>QA-076</t>
  </si>
  <si>
    <t>系统能回答医院地址和电话吗？</t>
  </si>
  <si>
    <t>可以；基于医院信息文档</t>
  </si>
  <si>
    <t>当然可以！😊 **北京协和医院**有两个院区，信息如下： --- 🏥 **东单院区** - 地址：北京市东城区帅府园一号（邮编：100730） - 服务热线：010-69151188 🏥 **西单院区** - 地址：北京市西城区大木仓胡同41号（邮编：100032） - 服务热线：010-69158100 🕒 **门诊时间**：工作日 8:00–17:30 🚑 **急诊**：24小时开放 如需挂号、就诊流程或其他医疗协助，也欢迎随时告诉我！</t>
  </si>
  <si>
    <t>QA-077</t>
  </si>
  <si>
    <t>医院知识库里有没有周末门诊安排？</t>
  </si>
  <si>
    <t>是否包含；周末安排信息</t>
  </si>
  <si>
    <t>您好！北京协和医院部分科室在周末是开设门诊的，但并非所有科室都提供周末服务，且出诊安排可能因节假日或医生排班有所调整。 一般来说： - **普通内科、外科、妇科、儿科等热门科室**，通常在周六上午有门诊； - **专科或专家门诊**多数集中在工作日； - **急诊科**全年24小时开放； - 周日门诊相对较少，部分科室可能仅开放半天或停诊。 建议您告诉我具体想挂哪个**科室**或**医生**，我可以帮您查询该科室在**本周末（2026年3月14日–15日）** 是否有号源。😊</t>
  </si>
  <si>
    <t>QA-078</t>
  </si>
  <si>
    <t>知识库里能查到取消预约规则吗？</t>
  </si>
  <si>
    <t>可以；医院信息或流程文档相关规则</t>
  </si>
  <si>
    <t>您好！关于取消预约的规则，我可以为您说明： 在北京协和医院，**预约成功后如需取消**，请您务必**至少提前一天**通过官方渠道（如医院App、微信公众号或本智能客服）办理取消手续。当日预约不可取消。 此外，为保障医疗资源合理使用，若您**一个月内累计爽约（未就诊且未取消）达2次**，将被暂停预约资格1个月。 如果您需要我现在帮您取消某条具体预约，请提供以下信息： - 姓名 - 身份证号 - 预约的科室 - 预约日期（格式如：2026-03-12） - 预约时段（上午/下午） - 医生姓名（如有） 我会先核对预约记录，再为您操作取消。</t>
  </si>
  <si>
    <t>QA-079</t>
  </si>
  <si>
    <t>如果没指定医生系统会怎么处理？</t>
  </si>
  <si>
    <t>按科室挂号或推荐医生</t>
  </si>
  <si>
    <t>如果您在预约挂号时没有指定具体的医生，系统会根据您选择的**科室**和**就诊时间**，从该科室当天有号源的医生中，**自动为您推荐一位合适的医生**（通常是职称较高或号源较充裕的医生）。 当然，在最终确认预约前，我会把**推荐的医生姓名**以及其他预约信息（如科室、日期、时间段等）清楚地展示给您，**需要您确认无误后才会完成挂号**，不会擅自为您下单。 如有特别需求（比如希望挂专家号、主任医师，或避开某位医生），也可以提前告诉我，我会尽量满足您的要求 😊</t>
  </si>
  <si>
    <t>QA-080</t>
  </si>
  <si>
    <t>知识库里有没有科室对应症状说明？</t>
  </si>
  <si>
    <t>有；科室信息和适应症</t>
  </si>
  <si>
    <t>您好！我是“硅谷小智”，北京协和医院的智能客服，很高兴为您服务。😊 关于您的问题：目前我们的知识库中**没有直接提供“科室-症状”的详细对应说明表**。不过，我可以根据您描述的症状，帮您初步判断可能涉及的科室，并指导您如何挂号或进一步就诊。 如果您有具体不适或症状，欢迎告诉我，我会尽力给出实用建议！</t>
  </si>
  <si>
    <t>QA-081</t>
  </si>
  <si>
    <t>神经内科适合看偏头痛吗？</t>
  </si>
  <si>
    <t>科室匹配</t>
  </si>
  <si>
    <t>适合；属于神经内科常见问题</t>
  </si>
  <si>
    <t>是的，偏头痛属于神经内科的诊疗范畴，非常适合到神经内科就诊。🧠 北京协和医院神经内科在神经系统疾病（包括偏头痛、紧张性头痛等原发性头痛）方面具有丰富的临床经验和专业团队。如果您经常出现头痛、偏头痛发作频繁或症状加重，建议尽早就诊神经内科，以便明确诊断并制定个体化治疗方案。 需要我帮您预约神经内科的号源吗？</t>
  </si>
  <si>
    <t>适合</t>
  </si>
  <si>
    <t>QA-082</t>
  </si>
  <si>
    <t>呼吸内科能看长期咳嗽吗？</t>
  </si>
  <si>
    <t>可以；呼吸系统相关症状</t>
  </si>
  <si>
    <t>您好！我是“硅谷小智”，北京协和医院的智能客服，很高兴为您服务。😊 关于您的问题：**呼吸内科正是专门诊治与呼吸道相关疾病的科室，长期咳嗽属于其常见诊疗范围**。可能的原因包括： - 慢性支气管炎 - 哮喘或咳嗽变异性哮喘 - 上气道咳嗽综合征（如鼻后滴漏） - 胃食管反流 - 感染后咳嗽 - 甚至某些少见肺部疾病 📌 **建议**：如果咳嗽持续超过2~3周，尤其是伴有以下情况，请尽快到呼吸内科就诊： - 夜间加重 - 有痰、咯血、胸痛、发热或体重下降 - 吸烟史或接触粉尘/过敏原 是否需要我帮您预约呼吸内科的号源？只需提供姓名、身份证号和希望就诊的时间即可。</t>
  </si>
  <si>
    <t>QA-083</t>
  </si>
  <si>
    <t>消化内科适合看反酸吗？</t>
  </si>
  <si>
    <t>可以；消化系统症状</t>
  </si>
  <si>
    <t>是的，反酸（胃酸反流）属于消化系统相关症状，**消化内科**正是负责这类问题的科室。常见的相关疾病包括： - 胃食管反流病（GERD） - 慢性胃炎 - 胃溃疡或十二指肠溃疡 - 功能性消化不良 如果您经常出现反酸、烧心、嗳气、胸骨后不适等症状，建议尽早就诊消化内科，医生可能会根据情况安排胃镜、幽门螺杆菌检测等检查。 需要我帮您预约消化内科的号源吗？😊</t>
  </si>
  <si>
    <t>QA-084</t>
  </si>
  <si>
    <t>耳鼻喉科能看咽喉疼痛吗？</t>
  </si>
  <si>
    <t>可以；咽喉不适属耳鼻喉科</t>
  </si>
  <si>
    <t>当然可以！👂👃throat 耳鼻喉科（也称“头颈外科”）正是专门诊治咽喉疼痛、声音嘶哑、扁桃体炎、咽炎、喉炎等相关问题的科室。 如果您有以下症状，建议尽快就诊耳鼻喉科： - 持续性咽喉痛（超过2–3天未缓解） - 吞咽困难或疼痛加重 - 伴有发热、声音嘶哑、颈部淋巴结肿大 - 咽部异物感或出血 需要我帮您查询耳鼻喉科近期是否有号源，或者协助预约挂号吗？😊</t>
  </si>
  <si>
    <t>QA-085</t>
  </si>
  <si>
    <t>眼科能处理视力下降问题吗？</t>
  </si>
  <si>
    <t>可以；视力相关问题</t>
  </si>
  <si>
    <t>您好！我是“硅谷小智”，北京协和医院的智能客服 👋 眼科**完全可以处理视力下降的问题**。视力下降可能由多种原因引起，比如： - 近视、远视、散光等屈光不正 - 白内障、青光眼、黄斑变性等眼病 - 糖尿病或高血压引起的视网膜病变 - 视疲劳或干眼症等暂时性因素 建议您尽快到**眼科门诊**就诊，医生可能会安排视力检查、验光、眼底照相等进一步评估。如果近期视力突然明显下降，或伴有眼痛、视野缺损等症状，请**尽早就医**，以免延误治疗。 需要我帮您预约眼科号源吗？</t>
  </si>
  <si>
    <t>QA-086</t>
  </si>
  <si>
    <t>骨科适合看扭伤吗？</t>
  </si>
  <si>
    <t>可以；骨关节及外伤问题</t>
  </si>
  <si>
    <t>是的，**骨科非常适合看扭伤**！🩺 扭伤通常涉及韧带、关节或软组织损伤，比如常见的踝关节扭伤、手腕扭伤等，这些都属于骨科的诊疗范围。医生可能会通过查体、X光或核磁共振（MRI）等方式判断是否有韧带撕裂、骨折或其他结构性损伤。 💡**建议**： - 如果扭伤后出现明显肿胀、剧烈疼痛、无法承重或关节变形，请尽快到医院骨科就诊。 - 急性期（24–48小时内）可先遵循 **RICE原则**：Rest（休息）、Ice（冰敷）、Compression（加压包扎）、Elevation（抬高患肢）。 如需在**北京协和医院**挂骨科号，我可以帮您查询号源或预约挂号。需要吗？😊</t>
  </si>
  <si>
    <t>QA-087</t>
  </si>
  <si>
    <t>皮肤科能看湿疹吗？</t>
  </si>
  <si>
    <t>可以；常见皮肤病</t>
  </si>
  <si>
    <t>当然可以！😊 皮肤科正是诊治湿疹的专业科室。湿疹是一种常见的过敏性皮肤病，皮肤科医生会根据您的具体症状（如皮疹形态、瘙痒程度、病程等）进行诊断，并制定相应的治疗方案，比如外用药物、口服抗过敏药或生活护理建议等。 如果症状持续不缓解、反复发作或伴有明显渗出、感染等情况，建议尽早就诊。需要我帮您预约皮肤科的号源吗？</t>
  </si>
  <si>
    <t>QA-088</t>
  </si>
  <si>
    <t>儿科可以看孩子咳嗽发烧吗？</t>
  </si>
  <si>
    <t>可以；儿童常见病</t>
  </si>
  <si>
    <t>当然可以！👨‍⚕️ 北京协和医院的儿科专门诊治儿童常见病，包括咳嗽、发烧、感冒、支气管炎、肺炎等呼吸道感染问题。 如果孩子出现以下情况，建议尽快就诊： - 发热超过38.5℃持续不退 - 咳嗽剧烈或伴有喘息、呼吸急促 - 精神差、食欲明显下降 - 发热超过3天无好转 您可以提前预约儿科门诊，避免现场长时间等待。需要我帮您查询近期儿科是否有号源，或协助预约挂号吗？😊</t>
  </si>
  <si>
    <t>QA-089</t>
  </si>
  <si>
    <t>口腔科适合看蛀牙吗？</t>
  </si>
  <si>
    <t>可以；牙齿问题</t>
  </si>
  <si>
    <t>是的，蛀牙属于口腔科的诊疗范围。🦷 如果您有牙齿疼痛、敏感、黑点或龋洞等症状，建议尽快到口腔科就诊，医生会根据情况安排补牙、根管治疗或其他处理。 需要我帮您预约北京协和医院口腔科的号源吗？</t>
  </si>
  <si>
    <t>QA-090</t>
  </si>
  <si>
    <t>心内科主要看心悸胸痛吗？</t>
  </si>
  <si>
    <t>是；心血管相关症状</t>
  </si>
  <si>
    <t>是的，心内科（心血管内科）主要诊治与心脏和血管相关的疾病，**心悸、胸痛**正是其常见就诊症状之一。具体包括但不限于： - 心悸（心跳过快、过慢或不规则） - 胸痛（尤其是怀疑心绞痛、心肌缺血等） - 高血压 - 冠心病 - 心律失常 - 心力衰竭 - 心肌炎、心包炎等 ⚠️ **温馨提示**： 如果您的胸痛剧烈、持续不缓解，或伴有出汗、呼吸困难、晕厥等症状，请**立即前往急诊科就诊**，这可能是急性心肌梗死等危急情况。 如需在**北京协和医院**心内科就诊，我可以帮您查询号源或预约挂号。是否需要？</t>
  </si>
  <si>
    <t>是</t>
  </si>
  <si>
    <t>QA-091</t>
  </si>
  <si>
    <t>去医院看病前需要先预约吗？</t>
  </si>
  <si>
    <t>是否必须预约；可预约或现场挂号</t>
  </si>
  <si>
    <t>您好！我是“硅谷小智”，北京协和医院的智能客服。😊 目前，北京协和医院**绝大多数门诊科室实行预约挂号制**，建议您**提前预约**后再来院就诊，这样可以： - 避免现场长时间排队 - 确保能看上目标科室或专家的号 - 合理安排您的就诊时间 您可以通过以下方式预约： - 北京协和医院官方App - 114挂号平台 - 医院官网 - 或通过我这里协助您完成预约（需提供必要信息） 如果您已经有明确想挂的科室、日期和时间，我可以帮您查询号源或直接预约哦！ 需要我帮您操作吗？</t>
  </si>
  <si>
    <t>QA-092</t>
  </si>
  <si>
    <t>预约时可以只选科室不选医生吗？</t>
  </si>
  <si>
    <t>可以；按科室预约</t>
  </si>
  <si>
    <t>您好！在预约挂号时，**可以只选择科室而不指定具体医生**。如果您没有特别倾向的医生，系统会根据您选择的科室、日期和时间段，为您推荐一位有号源的医生进行预约。 不过为了确保顺利挂号，仍需提供以下必要信息： - 您的姓名 - 身份证号 - 科室名称 - 就诊日期（如：2026-03-15） - 就诊时间（上午 / 下午） 如果您已有这些信息，我可以帮您查询号源并完成预约 😊</t>
  </si>
  <si>
    <t>QA-093</t>
  </si>
  <si>
    <t>预约成功后还需要签到吗？</t>
  </si>
  <si>
    <t>是否需要签到；到院流程</t>
  </si>
  <si>
    <t>您好！在**北京协和医院**，预约成功后通常**需要在就诊当天进行签到**，具体如下： - **门诊签到时间**：一般要求在预约时段前**30分钟内**完成签到； - **签到方式**：可通过医院自助机、官方App（如“北京协和医院”App）或人工窗口签到； - **未按时签到**：若错过签到时间，号源可能会被释放，影响正常就诊。 建议您提前规划好时间，确保顺利就诊。如有其他问题，欢迎随时咨询！😊</t>
  </si>
  <si>
    <t>QA-094</t>
  </si>
  <si>
    <t>看诊当天迟到了怎么办？</t>
  </si>
  <si>
    <t>咨询医院；可能需重新安排</t>
  </si>
  <si>
    <t>您好！如果您在看诊当天迟到了，建议您尽快前往北京协和医院的相应科室分诊台说明情况。是否还能就诊，主要取决于以下几点： - **迟到时间长短**：如果只是稍晚（如10–15分钟内），部分医生可能会酌情安排； - **当日号源情况**：若医生号源已满，可能需要重新预约； - **是否已过叫号截止时间**：有些科室会在上午11:00或下午4:00后停止签到，错过则视为爽约。 📌 **温馨提醒**： - 协和医院一般要求患者在预约时段前30分钟完成签到； - 若确定无法按时就诊，建议尽早取消预约（可通过官方App或电话），以免影响后续挂号资格。 如有其他就诊流程问题，欢迎继续咨询！😊</t>
  </si>
  <si>
    <t>QA-095</t>
  </si>
  <si>
    <t>挂号后没去看诊会有什么影响？</t>
  </si>
  <si>
    <t>爽约规则；是否影响后续预约</t>
  </si>
  <si>
    <t>您好！如果您在挂号后未按时就诊（俗称“爽约”），可能会有以下几方面的影响： 1. **影响个人信用记录**：北京协和医院等大型三甲医院已接入医疗信用系统，多次无故爽约会可能被记录在案，影响今后的预约优先级或限制预约权限。 2. **浪费医疗资源**：号源有限，尤其是专家号，爽约会占用其他患者宝贵的就诊机会。 3. **可能产生费用**：部分医院对未取消且未就诊的预约收取“违约金”或“挂号费不退”，具体以医院政策为准。 4. **影响后续挂号**：有些医院规定，若爽约次数过多，短期内将无法通过线上渠道预约挂号。 💡 **建议**：如确实无法按时就诊，请尽早通过原预约渠道（如医院App、官网、电话等）取消预约，一般在就诊前1天或当天早上截止前可免费取消。 如有其他关于就诊流程的问题，也欢迎随时咨询我～ 😊</t>
  </si>
  <si>
    <t>QA-096</t>
  </si>
  <si>
    <t>如果不清楚挂哪个科可以怎么咨询？</t>
  </si>
  <si>
    <t>咨询导诊；按症状推荐科室</t>
  </si>
  <si>
    <t>您好！如果您不确定该挂哪个科室，可以告诉我您的主要症状或不适部位（比如“头痛三天”、“胃痛伴有恶心”、“皮肤起疹子”等），我会根据您的描述，帮您初步判断可能涉及的科室，并提供就诊建议。🩺 协和医院也设有**综合咨询台**（门诊大厅一层）和**智能分诊系统**（可通过医院官网或公众号使用），能进一步协助分诊。 需要我帮您初步分析一下吗？😊</t>
  </si>
  <si>
    <t>QA-097</t>
  </si>
  <si>
    <t>系统能根据症状推荐科室吗？</t>
  </si>
  <si>
    <t>能力说明</t>
  </si>
  <si>
    <t>可以；基于知识库和规则推荐</t>
  </si>
  <si>
    <t>您好！我是“硅谷小智”，北京协和医院的智能客服。😊 我可以根据您描述的症状，帮您初步推荐合适的就诊科室，但请注意：**这不能替代医生的专业诊断**。如果症状明显或持续，请务必尽快线下就医。 请告诉我您的主要症状（例如：头痛、腹痛、皮肤红疹等）、持续时间，以及是否伴有其他不适（如发烧、乏力等），我会尽力为您推荐合适的科室。</t>
  </si>
  <si>
    <t>QA-098</t>
  </si>
  <si>
    <t>系统能回答医院基础信息吗？</t>
  </si>
  <si>
    <t>可以；地址时间电话等</t>
  </si>
  <si>
    <t>您好！我是“硅谷小智”，北京协和医院的智能客服。😊 我可以为您解答医院的就诊流程、科室信息、挂号预约等就医相关问题，也可以提供一些基础医疗建议。 关于医院的基础信息（如地址、联系方式、门诊时间等），我也可以为您简要介绍。请问您具体想了解哪方面的内容呢？</t>
  </si>
  <si>
    <t>QA-099</t>
  </si>
  <si>
    <t>系统能处理预约挂号相关问题吗？</t>
  </si>
  <si>
    <t>可以；预约取消查询等</t>
  </si>
  <si>
    <t>您好！我是“硅谷小智”，北京协和医院的智能客服 🌟 我可以协助您完成**预约挂号、查询号源、取消预约**等操作，也会提供相关的就诊流程指导。 只要您告诉我： - 姓名 - 身份证号 - 想挂的科室 - 就诊日期（如：2026-03-15） - 上午/下午 - （可选）医生姓名 我就能帮您查询是否有号源，并完成预约。需要现在试试吗？😊</t>
  </si>
  <si>
    <t>QA-100</t>
  </si>
  <si>
    <t>系统能结合知识库做医疗问答吗？</t>
  </si>
  <si>
    <t>可以；RAG检索增强问答</t>
  </si>
  <si>
    <t>您好！我是“硅谷小智”，北京协和医院的智能客服 🏥。 我可以结合医院的知识库，为您提供以下帮助： - **医疗健康咨询**：如症状初步分析、常见病用药建议、检查项目解读等（但不能替代医生诊断）； - **就诊流程指导**：包括挂号、预约、科室选择、就诊准备等； - **号源查询与预约服务**：帮您查号、预约或取消挂号。 不过请注意： 🔹 我提供的信息仅供参考，**不能替代专业医生的面对面诊疗**； 🔹 若症状严重或持续，请务必及时线下就医。 请问您现在有什么具体问题需要帮助吗？😊</t>
  </si>
  <si>
    <t>指标</t>
  </si>
  <si>
    <t>值</t>
  </si>
  <si>
    <t>总题数</t>
  </si>
  <si>
    <t>自动正确数</t>
  </si>
  <si>
    <t>自动部分正确数</t>
  </si>
  <si>
    <t>自动错误数</t>
  </si>
  <si>
    <t>自动请求失败数</t>
  </si>
  <si>
    <t>自动加权准确率</t>
  </si>
  <si>
    <t>人工正确数</t>
  </si>
  <si>
    <t>人工部分正确数</t>
  </si>
  <si>
    <t>人工错误数</t>
  </si>
  <si>
    <t>人工严格准确率</t>
  </si>
  <si>
    <t>人工加权准确率</t>
  </si>
  <si>
    <t>知识库命中率</t>
  </si>
  <si>
    <t>人工复核建议：先筛选自动判定=错误/请求失败，再逐条补充人工复核结果、人工判定说明和知识库命中情况。</t>
  </si>
  <si>
    <t>正确</t>
    <phoneticPr fontId="1" type="noConversion"/>
  </si>
  <si>
    <t xml:space="preserve">正确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</si>
</sst>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4">
    <dxf>
      <fill>
        <patternFill>
          <bgColor rgb="FFCEC7FF"/>
        </patternFill>
      </fill>
    </dxf>
    <dxf>
      <fill>
        <patternFill>
          <bgColor rgb="FF9CEBFF"/>
        </patternFill>
      </fill>
    </dxf>
    <dxf>
      <fill>
        <patternFill>
          <bgColor rgb="FFCEEFC6"/>
        </patternFill>
      </fill>
    </dxf>
    <dxf>
      <fill>
        <patternFill>
          <bgColor rgb="FFF2E1D9"/>
        </patternFill>
      </fill>
    </dxf>
    <dxf>
      <fill>
        <patternFill>
          <bgColor rgb="FFD6E4FC"/>
        </patternFill>
      </fill>
    </dxf>
    <dxf>
      <fill>
        <patternFill>
          <bgColor rgb="FFCCF2FF"/>
        </patternFill>
      </fill>
    </dxf>
    <dxf>
      <fill>
        <patternFill>
          <bgColor rgb="FFD9F0E2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solid">
          <fgColor indexed="64"/>
          <bgColor rgb="FFF7EAD9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157C2-939F-4C9C-B183-A3F11C9FF5DF}" name="QaReviewTable" displayName="QaReviewTable" ref="A1:Q101" totalsRowShown="0" headerRowDxfId="13">
  <autoFilter ref="A1:Q101" xr:uid="{4CB157C2-939F-4C9C-B183-A3F11C9FF5DF}"/>
  <tableColumns count="17">
    <tableColumn id="1" xr3:uid="{E02F74E3-5460-4727-ACA1-69AC6E4F8AD4}" name="用例ID"/>
    <tableColumn id="2" xr3:uid="{5F9C704D-4043-4946-ADEC-6C0DFD23ACD2}" name="问题" dataDxfId="12"/>
    <tableColumn id="3" xr3:uid="{F6142ADA-EBD9-47A3-8404-5F0CACA8A42D}" name="问题类型"/>
    <tableColumn id="4" xr3:uid="{DC011023-C669-49A5-9FFC-010A97B553DE}" name="标准答案_关键点" dataDxfId="11"/>
    <tableColumn id="5" xr3:uid="{E768FCCE-6E55-4698-A0E9-2CB2EAFF7857}" name="关联知识文件"/>
    <tableColumn id="6" xr3:uid="{D419BD13-0730-48E1-A8AD-256DA5D37EFD}" name="memoryId"/>
    <tableColumn id="7" xr3:uid="{2AEFAEB6-D820-4321-B468-6BF5678EEBB7}" name="系统回答" dataDxfId="10"/>
    <tableColumn id="8" xr3:uid="{ED01AE09-83D9-46A4-B0AE-C71C29A9DE43}" name="是否命中知识库"/>
    <tableColumn id="9" xr3:uid="{2B9B6DD3-E7BA-4422-AEC7-91EFBC5DE6CF}" name="自动判定"/>
    <tableColumn id="10" xr3:uid="{3A790185-63DE-409C-ACE3-68C4DA0C85B8}" name="自动得分"/>
    <tableColumn id="11" xr3:uid="{650E7347-32EE-4AD8-BC7A-2719C95EF273}" name="命中关键点数"/>
    <tableColumn id="12" xr3:uid="{B0F02391-F61F-42FA-9111-FFCAA56D1716}" name="关键点总数"/>
    <tableColumn id="13" xr3:uid="{7F4D153E-DE42-4DA1-8289-8A80E55186BD}" name="命中关键词"/>
    <tableColumn id="14" xr3:uid="{46004D7A-77B8-4167-9431-52332407CABF}" name="人工复核结果"/>
    <tableColumn id="15" xr3:uid="{0FA23872-0F91-4507-814A-D7077742A2A4}" name="人工复核得分" dataDxfId="9">
      <calculatedColumnFormula>IF(N2="正确",1,IF(N2="部分正确",0.5,IF(N2="错误",0,"")))</calculatedColumnFormula>
    </tableColumn>
    <tableColumn id="16" xr3:uid="{B132781E-C18E-49B1-988C-3F62DB6F4ECF}" name="人工判定说明" dataDxfId="8"/>
    <tableColumn id="17" xr3:uid="{36745D8E-01A2-4FDE-8E75-301A1C0835C4}" name="备注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3D6E-9031-4F90-9738-B4C53B845F04}">
  <dimension ref="A1:B16"/>
  <sheetViews>
    <sheetView workbookViewId="0">
      <selection activeCell="B7" sqref="B7"/>
    </sheetView>
  </sheetViews>
  <sheetFormatPr defaultRowHeight="13.8" x14ac:dyDescent="0.25"/>
  <cols>
    <col min="1" max="1" width="16.109375" bestFit="1" customWidth="1"/>
    <col min="2" max="2" width="24.5546875" customWidth="1"/>
  </cols>
  <sheetData>
    <row r="1" spans="1:2" s="1" customFormat="1" x14ac:dyDescent="0.25">
      <c r="A1" s="5" t="s">
        <v>452</v>
      </c>
      <c r="B1" s="5" t="s">
        <v>453</v>
      </c>
    </row>
    <row r="2" spans="1:2" x14ac:dyDescent="0.25">
      <c r="A2" s="6" t="s">
        <v>454</v>
      </c>
      <c r="B2" s="6">
        <f>COUNTA('QA Review'!A:A)-1</f>
        <v>100</v>
      </c>
    </row>
    <row r="3" spans="1:2" x14ac:dyDescent="0.25">
      <c r="A3" s="6" t="s">
        <v>455</v>
      </c>
      <c r="B3" s="6">
        <f>COUNTIF('QA Review'!I:I,"正确")</f>
        <v>97</v>
      </c>
    </row>
    <row r="4" spans="1:2" x14ac:dyDescent="0.25">
      <c r="A4" s="6" t="s">
        <v>456</v>
      </c>
      <c r="B4" s="6">
        <f>COUNTIF('QA Review'!I:I,"部分正确")</f>
        <v>0</v>
      </c>
    </row>
    <row r="5" spans="1:2" x14ac:dyDescent="0.25">
      <c r="A5" s="6" t="s">
        <v>457</v>
      </c>
      <c r="B5" s="6">
        <f>COUNTIF('QA Review'!I:I,"错误")</f>
        <v>1</v>
      </c>
    </row>
    <row r="6" spans="1:2" x14ac:dyDescent="0.25">
      <c r="A6" s="6" t="s">
        <v>458</v>
      </c>
      <c r="B6" s="6">
        <f>COUNTIF('QA Review'!I:I,"请求失败")</f>
        <v>1</v>
      </c>
    </row>
    <row r="7" spans="1:2" x14ac:dyDescent="0.25">
      <c r="A7" s="6" t="s">
        <v>459</v>
      </c>
      <c r="B7" s="7">
        <f>SUM('QA Review'!J:J)/B2</f>
        <v>1.96</v>
      </c>
    </row>
    <row r="8" spans="1:2" x14ac:dyDescent="0.25">
      <c r="A8" s="6"/>
      <c r="B8" s="7"/>
    </row>
    <row r="9" spans="1:2" x14ac:dyDescent="0.25">
      <c r="A9" s="6" t="s">
        <v>460</v>
      </c>
      <c r="B9" s="7">
        <f>COUNTIF('QA Review'!N:N,"正确")</f>
        <v>0</v>
      </c>
    </row>
    <row r="10" spans="1:2" x14ac:dyDescent="0.25">
      <c r="A10" s="6" t="s">
        <v>461</v>
      </c>
      <c r="B10" s="7">
        <f>COUNTIF('QA Review'!N:N,"部分正确")</f>
        <v>0</v>
      </c>
    </row>
    <row r="11" spans="1:2" x14ac:dyDescent="0.25">
      <c r="A11" s="6" t="s">
        <v>462</v>
      </c>
      <c r="B11" s="7">
        <f>COUNTIF('QA Review'!N:N,"错误")</f>
        <v>0</v>
      </c>
    </row>
    <row r="12" spans="1:2" x14ac:dyDescent="0.25">
      <c r="A12" s="6" t="s">
        <v>463</v>
      </c>
      <c r="B12" s="7">
        <f>B9/B2</f>
        <v>0</v>
      </c>
    </row>
    <row r="13" spans="1:2" x14ac:dyDescent="0.25">
      <c r="A13" s="6" t="s">
        <v>464</v>
      </c>
      <c r="B13" s="7">
        <f>SUM('QA Review'!O:O)/B2</f>
        <v>0</v>
      </c>
    </row>
    <row r="14" spans="1:2" x14ac:dyDescent="0.25">
      <c r="A14" s="6" t="s">
        <v>465</v>
      </c>
      <c r="B14" s="7">
        <f>COUNTIF('QA Review'!H:H,"是")/B2</f>
        <v>0</v>
      </c>
    </row>
    <row r="16" spans="1:2" ht="36" customHeight="1" x14ac:dyDescent="0.25">
      <c r="A16" s="8" t="s">
        <v>466</v>
      </c>
      <c r="B16" s="8"/>
    </row>
  </sheetData>
  <mergeCells count="1">
    <mergeCell ref="A16:B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93B-ACC9-4609-BAFC-852B0CB804C9}">
  <dimension ref="A1:Q1048576"/>
  <sheetViews>
    <sheetView tabSelected="1" workbookViewId="0">
      <pane ySplit="1" topLeftCell="A98" activePane="bottomLeft" state="frozenSplit"/>
      <selection pane="bottomLeft" activeCell="J58" sqref="J58"/>
    </sheetView>
  </sheetViews>
  <sheetFormatPr defaultRowHeight="13.8" x14ac:dyDescent="0.25"/>
  <cols>
    <col min="1" max="1" width="10.77734375" customWidth="1"/>
    <col min="2" max="2" width="28.77734375" style="4" customWidth="1"/>
    <col min="3" max="3" width="12.77734375" customWidth="1"/>
    <col min="4" max="4" width="24.77734375" style="4" customWidth="1"/>
    <col min="5" max="5" width="16.77734375" customWidth="1"/>
    <col min="6" max="6" width="12.77734375" customWidth="1"/>
    <col min="7" max="7" width="75.77734375" style="4" customWidth="1"/>
    <col min="8" max="8" width="14.77734375" customWidth="1"/>
    <col min="9" max="9" width="12.77734375" customWidth="1"/>
    <col min="10" max="10" width="10.77734375" customWidth="1"/>
    <col min="11" max="11" width="14.88671875" customWidth="1"/>
    <col min="12" max="12" width="12.88671875" customWidth="1"/>
    <col min="13" max="13" width="18.77734375" customWidth="1"/>
    <col min="14" max="14" width="14.77734375" customWidth="1"/>
    <col min="15" max="15" width="12.77734375" customWidth="1"/>
    <col min="16" max="16" width="28.77734375" style="4" customWidth="1"/>
    <col min="17" max="17" width="18.77734375" style="4" customWidth="1"/>
  </cols>
  <sheetData>
    <row r="1" spans="1:17" s="2" customFormat="1" x14ac:dyDescent="0.25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69" x14ac:dyDescent="0.25">
      <c r="A2" t="s">
        <v>17</v>
      </c>
      <c r="B2" s="4" t="s">
        <v>18</v>
      </c>
      <c r="C2" t="s">
        <v>19</v>
      </c>
      <c r="D2" s="4" t="s">
        <v>20</v>
      </c>
      <c r="E2" t="s">
        <v>21</v>
      </c>
      <c r="F2">
        <v>900001</v>
      </c>
      <c r="G2" s="4" t="s">
        <v>22</v>
      </c>
      <c r="I2" t="s">
        <v>467</v>
      </c>
      <c r="J2">
        <v>1</v>
      </c>
      <c r="K2">
        <v>1</v>
      </c>
      <c r="L2">
        <v>2</v>
      </c>
      <c r="M2" t="s">
        <v>23</v>
      </c>
      <c r="O2" t="str">
        <f t="shared" ref="O2" si="0">IF(N2="正确",1,IF(N2="部分正确",0.5,IF(N2="错误",0,"")))</f>
        <v/>
      </c>
    </row>
    <row r="3" spans="1:17" ht="124.2" x14ac:dyDescent="0.25">
      <c r="A3" t="s">
        <v>24</v>
      </c>
      <c r="B3" s="4" t="s">
        <v>25</v>
      </c>
      <c r="C3" t="s">
        <v>19</v>
      </c>
      <c r="D3" s="4" t="s">
        <v>26</v>
      </c>
      <c r="E3" t="s">
        <v>21</v>
      </c>
      <c r="F3">
        <v>900002</v>
      </c>
      <c r="G3" s="4" t="s">
        <v>27</v>
      </c>
      <c r="I3" t="s">
        <v>467</v>
      </c>
      <c r="J3">
        <v>1</v>
      </c>
      <c r="K3">
        <v>1</v>
      </c>
      <c r="L3">
        <v>2</v>
      </c>
      <c r="M3" t="s">
        <v>23</v>
      </c>
      <c r="O3" t="str">
        <f t="shared" ref="O3:O34" si="1">IF(N3="正确",1,IF(N3="部分正确",0.5,IF(N3="错误",0,"")))</f>
        <v/>
      </c>
    </row>
    <row r="4" spans="1:17" ht="110.4" x14ac:dyDescent="0.25">
      <c r="A4" t="s">
        <v>28</v>
      </c>
      <c r="B4" s="4" t="s">
        <v>29</v>
      </c>
      <c r="C4" t="s">
        <v>19</v>
      </c>
      <c r="D4" s="4" t="s">
        <v>30</v>
      </c>
      <c r="E4" t="s">
        <v>21</v>
      </c>
      <c r="F4">
        <v>900003</v>
      </c>
      <c r="G4" s="4" t="s">
        <v>31</v>
      </c>
      <c r="I4" t="s">
        <v>467</v>
      </c>
      <c r="J4">
        <v>1</v>
      </c>
      <c r="K4">
        <v>0</v>
      </c>
      <c r="L4">
        <v>2</v>
      </c>
      <c r="O4" t="str">
        <f t="shared" si="1"/>
        <v/>
      </c>
    </row>
    <row r="5" spans="1:17" ht="69" x14ac:dyDescent="0.25">
      <c r="A5" t="s">
        <v>33</v>
      </c>
      <c r="B5" s="4" t="s">
        <v>34</v>
      </c>
      <c r="C5" t="s">
        <v>19</v>
      </c>
      <c r="D5" s="4" t="s">
        <v>35</v>
      </c>
      <c r="E5" t="s">
        <v>21</v>
      </c>
      <c r="F5">
        <v>900004</v>
      </c>
      <c r="G5" s="4" t="s">
        <v>36</v>
      </c>
      <c r="I5" t="s">
        <v>37</v>
      </c>
      <c r="J5">
        <v>1</v>
      </c>
      <c r="K5">
        <v>1</v>
      </c>
      <c r="L5">
        <v>1</v>
      </c>
      <c r="M5" t="s">
        <v>35</v>
      </c>
      <c r="O5" t="str">
        <f t="shared" si="1"/>
        <v/>
      </c>
    </row>
    <row r="6" spans="1:17" ht="82.8" x14ac:dyDescent="0.25">
      <c r="A6" t="s">
        <v>38</v>
      </c>
      <c r="B6" s="4" t="s">
        <v>39</v>
      </c>
      <c r="C6" t="s">
        <v>19</v>
      </c>
      <c r="D6" s="4" t="s">
        <v>40</v>
      </c>
      <c r="E6" t="s">
        <v>21</v>
      </c>
      <c r="F6">
        <v>900005</v>
      </c>
      <c r="G6" s="4" t="s">
        <v>41</v>
      </c>
      <c r="I6" t="s">
        <v>467</v>
      </c>
      <c r="J6">
        <v>1</v>
      </c>
      <c r="K6">
        <v>1</v>
      </c>
      <c r="L6">
        <v>2</v>
      </c>
      <c r="M6" t="s">
        <v>42</v>
      </c>
      <c r="O6" t="str">
        <f t="shared" si="1"/>
        <v/>
      </c>
    </row>
    <row r="7" spans="1:17" ht="96.6" x14ac:dyDescent="0.25">
      <c r="A7" t="s">
        <v>43</v>
      </c>
      <c r="B7" s="4" t="s">
        <v>44</v>
      </c>
      <c r="C7" t="s">
        <v>19</v>
      </c>
      <c r="D7" s="4" t="s">
        <v>45</v>
      </c>
      <c r="E7" t="s">
        <v>21</v>
      </c>
      <c r="F7">
        <v>900006</v>
      </c>
      <c r="G7" s="4" t="s">
        <v>46</v>
      </c>
      <c r="I7" t="s">
        <v>467</v>
      </c>
      <c r="J7">
        <v>1</v>
      </c>
      <c r="K7">
        <v>1</v>
      </c>
      <c r="L7">
        <v>2</v>
      </c>
      <c r="M7" t="s">
        <v>47</v>
      </c>
      <c r="O7" t="str">
        <f t="shared" si="1"/>
        <v/>
      </c>
    </row>
    <row r="8" spans="1:17" ht="41.4" x14ac:dyDescent="0.25">
      <c r="A8" t="s">
        <v>48</v>
      </c>
      <c r="B8" s="4" t="s">
        <v>49</v>
      </c>
      <c r="C8" t="s">
        <v>19</v>
      </c>
      <c r="D8" s="4" t="s">
        <v>50</v>
      </c>
      <c r="E8" t="s">
        <v>21</v>
      </c>
      <c r="F8">
        <v>900007</v>
      </c>
      <c r="G8" s="4" t="s">
        <v>51</v>
      </c>
      <c r="I8" t="s">
        <v>37</v>
      </c>
      <c r="J8">
        <v>1</v>
      </c>
      <c r="K8">
        <v>1</v>
      </c>
      <c r="L8">
        <v>1</v>
      </c>
      <c r="M8" t="s">
        <v>50</v>
      </c>
      <c r="O8" t="str">
        <f t="shared" si="1"/>
        <v/>
      </c>
    </row>
    <row r="9" spans="1:17" ht="41.4" x14ac:dyDescent="0.25">
      <c r="A9" t="s">
        <v>52</v>
      </c>
      <c r="B9" s="4" t="s">
        <v>53</v>
      </c>
      <c r="C9" t="s">
        <v>19</v>
      </c>
      <c r="D9" s="4" t="s">
        <v>54</v>
      </c>
      <c r="E9" t="s">
        <v>21</v>
      </c>
      <c r="F9">
        <v>900008</v>
      </c>
      <c r="G9" s="4" t="s">
        <v>55</v>
      </c>
      <c r="I9" t="s">
        <v>37</v>
      </c>
      <c r="J9">
        <v>1</v>
      </c>
      <c r="K9">
        <v>1</v>
      </c>
      <c r="L9">
        <v>1</v>
      </c>
      <c r="M9" t="s">
        <v>54</v>
      </c>
      <c r="O9" t="str">
        <f t="shared" si="1"/>
        <v/>
      </c>
    </row>
    <row r="10" spans="1:17" ht="55.2" x14ac:dyDescent="0.25">
      <c r="A10" t="s">
        <v>56</v>
      </c>
      <c r="B10" s="4" t="s">
        <v>57</v>
      </c>
      <c r="C10" t="s">
        <v>19</v>
      </c>
      <c r="D10" s="4" t="s">
        <v>58</v>
      </c>
      <c r="E10" t="s">
        <v>21</v>
      </c>
      <c r="F10">
        <v>900009</v>
      </c>
      <c r="G10" s="4" t="s">
        <v>59</v>
      </c>
      <c r="I10" t="s">
        <v>37</v>
      </c>
      <c r="J10">
        <v>1</v>
      </c>
      <c r="K10">
        <v>1</v>
      </c>
      <c r="L10">
        <v>1</v>
      </c>
      <c r="M10" t="s">
        <v>58</v>
      </c>
      <c r="O10" t="str">
        <f t="shared" si="1"/>
        <v/>
      </c>
    </row>
    <row r="11" spans="1:17" ht="69" x14ac:dyDescent="0.25">
      <c r="A11" t="s">
        <v>60</v>
      </c>
      <c r="B11" s="4" t="s">
        <v>61</v>
      </c>
      <c r="C11" t="s">
        <v>19</v>
      </c>
      <c r="D11" s="4" t="s">
        <v>62</v>
      </c>
      <c r="E11" t="s">
        <v>21</v>
      </c>
      <c r="F11">
        <v>900010</v>
      </c>
      <c r="G11" s="4" t="s">
        <v>63</v>
      </c>
      <c r="I11" t="s">
        <v>37</v>
      </c>
      <c r="J11">
        <v>1</v>
      </c>
      <c r="K11">
        <v>1</v>
      </c>
      <c r="L11">
        <v>1</v>
      </c>
      <c r="M11" t="s">
        <v>62</v>
      </c>
      <c r="O11" t="str">
        <f t="shared" si="1"/>
        <v/>
      </c>
    </row>
    <row r="12" spans="1:17" ht="55.2" x14ac:dyDescent="0.25">
      <c r="A12" t="s">
        <v>64</v>
      </c>
      <c r="B12" s="4" t="s">
        <v>65</v>
      </c>
      <c r="C12" t="s">
        <v>19</v>
      </c>
      <c r="D12" s="4" t="s">
        <v>66</v>
      </c>
      <c r="E12" t="s">
        <v>21</v>
      </c>
      <c r="F12">
        <v>900011</v>
      </c>
      <c r="G12" s="4" t="s">
        <v>67</v>
      </c>
      <c r="I12" t="s">
        <v>467</v>
      </c>
      <c r="J12">
        <v>1</v>
      </c>
      <c r="K12">
        <v>1</v>
      </c>
      <c r="L12">
        <v>2</v>
      </c>
      <c r="M12" t="s">
        <v>68</v>
      </c>
      <c r="O12" t="str">
        <f t="shared" si="1"/>
        <v/>
      </c>
    </row>
    <row r="13" spans="1:17" ht="96.6" x14ac:dyDescent="0.25">
      <c r="A13" t="s">
        <v>69</v>
      </c>
      <c r="B13" s="4" t="s">
        <v>70</v>
      </c>
      <c r="C13" t="s">
        <v>19</v>
      </c>
      <c r="D13" s="4" t="s">
        <v>71</v>
      </c>
      <c r="E13" t="s">
        <v>21</v>
      </c>
      <c r="F13">
        <v>900012</v>
      </c>
      <c r="G13" s="4" t="s">
        <v>72</v>
      </c>
      <c r="I13" t="s">
        <v>467</v>
      </c>
      <c r="J13">
        <v>1</v>
      </c>
      <c r="K13">
        <v>1</v>
      </c>
      <c r="L13">
        <v>2</v>
      </c>
      <c r="M13" t="s">
        <v>23</v>
      </c>
      <c r="O13" t="str">
        <f t="shared" si="1"/>
        <v/>
      </c>
    </row>
    <row r="14" spans="1:17" ht="69" x14ac:dyDescent="0.25">
      <c r="A14" t="s">
        <v>73</v>
      </c>
      <c r="B14" s="4" t="s">
        <v>74</v>
      </c>
      <c r="C14" t="s">
        <v>19</v>
      </c>
      <c r="D14" s="4" t="s">
        <v>42</v>
      </c>
      <c r="E14" t="s">
        <v>21</v>
      </c>
      <c r="F14">
        <v>900013</v>
      </c>
      <c r="G14" s="4" t="s">
        <v>75</v>
      </c>
      <c r="I14" t="s">
        <v>37</v>
      </c>
      <c r="J14">
        <v>1</v>
      </c>
      <c r="K14">
        <v>1</v>
      </c>
      <c r="L14">
        <v>1</v>
      </c>
      <c r="M14" t="s">
        <v>42</v>
      </c>
      <c r="O14" t="str">
        <f t="shared" si="1"/>
        <v/>
      </c>
    </row>
    <row r="15" spans="1:17" ht="110.4" x14ac:dyDescent="0.25">
      <c r="A15" t="s">
        <v>76</v>
      </c>
      <c r="B15" s="4" t="s">
        <v>77</v>
      </c>
      <c r="C15" t="s">
        <v>19</v>
      </c>
      <c r="D15" s="4" t="s">
        <v>78</v>
      </c>
      <c r="E15" t="s">
        <v>21</v>
      </c>
      <c r="F15">
        <v>900014</v>
      </c>
      <c r="G15" s="4" t="s">
        <v>79</v>
      </c>
      <c r="I15" t="s">
        <v>467</v>
      </c>
      <c r="J15">
        <v>1</v>
      </c>
      <c r="K15">
        <v>0</v>
      </c>
      <c r="L15">
        <v>1</v>
      </c>
      <c r="O15" t="str">
        <f t="shared" si="1"/>
        <v/>
      </c>
    </row>
    <row r="16" spans="1:17" ht="96.6" x14ac:dyDescent="0.25">
      <c r="A16" t="s">
        <v>80</v>
      </c>
      <c r="B16" s="4" t="s">
        <v>81</v>
      </c>
      <c r="C16" t="s">
        <v>19</v>
      </c>
      <c r="D16" s="4" t="s">
        <v>82</v>
      </c>
      <c r="E16" t="s">
        <v>21</v>
      </c>
      <c r="F16">
        <v>900015</v>
      </c>
      <c r="G16" s="4" t="s">
        <v>83</v>
      </c>
      <c r="I16" t="s">
        <v>467</v>
      </c>
      <c r="J16">
        <v>1</v>
      </c>
      <c r="K16">
        <v>1</v>
      </c>
      <c r="L16">
        <v>2</v>
      </c>
      <c r="M16" t="s">
        <v>84</v>
      </c>
      <c r="O16" t="str">
        <f t="shared" si="1"/>
        <v/>
      </c>
    </row>
    <row r="17" spans="1:15" ht="82.8" x14ac:dyDescent="0.25">
      <c r="A17" t="s">
        <v>85</v>
      </c>
      <c r="B17" s="4" t="s">
        <v>86</v>
      </c>
      <c r="C17" t="s">
        <v>87</v>
      </c>
      <c r="D17" s="4" t="s">
        <v>88</v>
      </c>
      <c r="E17" t="s">
        <v>89</v>
      </c>
      <c r="F17">
        <v>900016</v>
      </c>
      <c r="G17" s="4" t="s">
        <v>90</v>
      </c>
      <c r="I17" t="s">
        <v>467</v>
      </c>
      <c r="J17">
        <v>1</v>
      </c>
      <c r="K17">
        <v>0</v>
      </c>
      <c r="L17">
        <v>2</v>
      </c>
      <c r="O17" t="str">
        <f t="shared" si="1"/>
        <v/>
      </c>
    </row>
    <row r="18" spans="1:15" ht="55.2" x14ac:dyDescent="0.25">
      <c r="A18" t="s">
        <v>91</v>
      </c>
      <c r="B18" s="4" t="s">
        <v>92</v>
      </c>
      <c r="C18" t="s">
        <v>87</v>
      </c>
      <c r="D18" s="4" t="s">
        <v>93</v>
      </c>
      <c r="E18" t="s">
        <v>89</v>
      </c>
      <c r="F18">
        <v>900017</v>
      </c>
      <c r="G18" s="4" t="s">
        <v>94</v>
      </c>
      <c r="I18" t="s">
        <v>467</v>
      </c>
      <c r="J18">
        <v>1</v>
      </c>
      <c r="K18">
        <v>0</v>
      </c>
      <c r="L18">
        <v>2</v>
      </c>
      <c r="O18" t="str">
        <f t="shared" si="1"/>
        <v/>
      </c>
    </row>
    <row r="19" spans="1:15" ht="41.4" x14ac:dyDescent="0.25">
      <c r="A19" t="s">
        <v>95</v>
      </c>
      <c r="B19" s="4" t="s">
        <v>96</v>
      </c>
      <c r="C19" t="s">
        <v>87</v>
      </c>
      <c r="D19" s="4" t="s">
        <v>97</v>
      </c>
      <c r="E19" t="s">
        <v>89</v>
      </c>
      <c r="F19">
        <v>900018</v>
      </c>
      <c r="G19" s="4" t="s">
        <v>98</v>
      </c>
      <c r="I19" t="s">
        <v>467</v>
      </c>
      <c r="J19">
        <v>1</v>
      </c>
      <c r="K19">
        <v>0</v>
      </c>
      <c r="L19">
        <v>1</v>
      </c>
      <c r="O19" t="str">
        <f t="shared" si="1"/>
        <v/>
      </c>
    </row>
    <row r="20" spans="1:15" ht="82.8" x14ac:dyDescent="0.25">
      <c r="A20" t="s">
        <v>99</v>
      </c>
      <c r="B20" s="4" t="s">
        <v>100</v>
      </c>
      <c r="C20" t="s">
        <v>87</v>
      </c>
      <c r="D20" s="4" t="s">
        <v>101</v>
      </c>
      <c r="E20" t="s">
        <v>89</v>
      </c>
      <c r="F20">
        <v>900019</v>
      </c>
      <c r="G20" s="4" t="s">
        <v>102</v>
      </c>
      <c r="I20" t="s">
        <v>467</v>
      </c>
      <c r="J20">
        <v>1</v>
      </c>
      <c r="K20">
        <v>0</v>
      </c>
      <c r="L20">
        <v>2</v>
      </c>
      <c r="O20" t="str">
        <f t="shared" si="1"/>
        <v/>
      </c>
    </row>
    <row r="21" spans="1:15" ht="82.8" x14ac:dyDescent="0.25">
      <c r="A21" t="s">
        <v>103</v>
      </c>
      <c r="B21" s="4" t="s">
        <v>104</v>
      </c>
      <c r="C21" t="s">
        <v>87</v>
      </c>
      <c r="D21" s="4" t="s">
        <v>105</v>
      </c>
      <c r="E21" t="s">
        <v>89</v>
      </c>
      <c r="F21">
        <v>900020</v>
      </c>
      <c r="G21" s="4" t="s">
        <v>106</v>
      </c>
      <c r="I21" t="s">
        <v>467</v>
      </c>
      <c r="J21">
        <v>1</v>
      </c>
      <c r="K21">
        <v>0</v>
      </c>
      <c r="L21">
        <v>1</v>
      </c>
      <c r="O21" t="str">
        <f t="shared" si="1"/>
        <v/>
      </c>
    </row>
    <row r="22" spans="1:15" ht="55.2" x14ac:dyDescent="0.25">
      <c r="A22" t="s">
        <v>107</v>
      </c>
      <c r="B22" s="4" t="s">
        <v>108</v>
      </c>
      <c r="C22" t="s">
        <v>87</v>
      </c>
      <c r="D22" s="4" t="s">
        <v>109</v>
      </c>
      <c r="E22" t="s">
        <v>89</v>
      </c>
      <c r="F22">
        <v>900021</v>
      </c>
      <c r="G22" s="4" t="s">
        <v>110</v>
      </c>
      <c r="I22" t="s">
        <v>467</v>
      </c>
      <c r="J22">
        <v>1</v>
      </c>
      <c r="K22">
        <v>0</v>
      </c>
      <c r="L22">
        <v>1</v>
      </c>
      <c r="O22" t="str">
        <f t="shared" si="1"/>
        <v/>
      </c>
    </row>
    <row r="23" spans="1:15" ht="69" x14ac:dyDescent="0.25">
      <c r="A23" t="s">
        <v>111</v>
      </c>
      <c r="B23" s="4" t="s">
        <v>112</v>
      </c>
      <c r="C23" t="s">
        <v>87</v>
      </c>
      <c r="D23" s="4" t="s">
        <v>113</v>
      </c>
      <c r="E23" t="s">
        <v>89</v>
      </c>
      <c r="F23">
        <v>900022</v>
      </c>
      <c r="G23" s="4" t="s">
        <v>114</v>
      </c>
      <c r="I23" t="s">
        <v>467</v>
      </c>
      <c r="J23">
        <v>1</v>
      </c>
      <c r="K23">
        <v>0</v>
      </c>
      <c r="L23">
        <v>2</v>
      </c>
      <c r="O23" t="str">
        <f t="shared" si="1"/>
        <v/>
      </c>
    </row>
    <row r="24" spans="1:15" ht="110.4" x14ac:dyDescent="0.25">
      <c r="A24" t="s">
        <v>115</v>
      </c>
      <c r="B24" s="4" t="s">
        <v>116</v>
      </c>
      <c r="C24" t="s">
        <v>87</v>
      </c>
      <c r="D24" s="4" t="s">
        <v>117</v>
      </c>
      <c r="E24" t="s">
        <v>89</v>
      </c>
      <c r="F24">
        <v>900023</v>
      </c>
      <c r="G24" s="4" t="s">
        <v>118</v>
      </c>
      <c r="I24" t="s">
        <v>467</v>
      </c>
      <c r="J24">
        <v>1</v>
      </c>
      <c r="K24">
        <v>2</v>
      </c>
      <c r="L24">
        <v>3</v>
      </c>
      <c r="M24" t="s">
        <v>119</v>
      </c>
      <c r="O24" t="str">
        <f t="shared" si="1"/>
        <v/>
      </c>
    </row>
    <row r="25" spans="1:15" ht="41.4" x14ac:dyDescent="0.25">
      <c r="A25" t="s">
        <v>120</v>
      </c>
      <c r="B25" s="4" t="s">
        <v>121</v>
      </c>
      <c r="C25" t="s">
        <v>87</v>
      </c>
      <c r="D25" s="4" t="s">
        <v>122</v>
      </c>
      <c r="E25" t="s">
        <v>89</v>
      </c>
      <c r="F25">
        <v>900024</v>
      </c>
      <c r="G25" s="4" t="s">
        <v>123</v>
      </c>
      <c r="I25" t="s">
        <v>467</v>
      </c>
      <c r="J25">
        <v>1</v>
      </c>
      <c r="K25">
        <v>0</v>
      </c>
      <c r="L25">
        <v>2</v>
      </c>
      <c r="O25" t="str">
        <f t="shared" si="1"/>
        <v/>
      </c>
    </row>
    <row r="26" spans="1:15" ht="69" x14ac:dyDescent="0.25">
      <c r="A26" t="s">
        <v>124</v>
      </c>
      <c r="B26" s="4" t="s">
        <v>125</v>
      </c>
      <c r="C26" t="s">
        <v>87</v>
      </c>
      <c r="D26" s="4" t="s">
        <v>126</v>
      </c>
      <c r="E26" t="s">
        <v>89</v>
      </c>
      <c r="F26">
        <v>900025</v>
      </c>
      <c r="G26" s="4" t="s">
        <v>127</v>
      </c>
      <c r="I26" t="s">
        <v>467</v>
      </c>
      <c r="J26">
        <v>1</v>
      </c>
      <c r="K26">
        <v>0</v>
      </c>
      <c r="L26">
        <v>2</v>
      </c>
      <c r="O26" t="str">
        <f t="shared" si="1"/>
        <v/>
      </c>
    </row>
    <row r="27" spans="1:15" ht="124.2" x14ac:dyDescent="0.25">
      <c r="A27" t="s">
        <v>128</v>
      </c>
      <c r="B27" s="4" t="s">
        <v>129</v>
      </c>
      <c r="C27" t="s">
        <v>130</v>
      </c>
      <c r="D27" s="4" t="s">
        <v>131</v>
      </c>
      <c r="E27" t="s">
        <v>132</v>
      </c>
      <c r="F27">
        <v>900026</v>
      </c>
      <c r="G27" s="4" t="s">
        <v>133</v>
      </c>
      <c r="I27" t="s">
        <v>467</v>
      </c>
      <c r="J27">
        <v>1</v>
      </c>
      <c r="K27">
        <v>2</v>
      </c>
      <c r="L27">
        <v>3</v>
      </c>
      <c r="M27" t="s">
        <v>134</v>
      </c>
      <c r="O27" t="str">
        <f t="shared" si="1"/>
        <v/>
      </c>
    </row>
    <row r="28" spans="1:15" ht="110.4" x14ac:dyDescent="0.25">
      <c r="A28" t="s">
        <v>135</v>
      </c>
      <c r="B28" s="4" t="s">
        <v>136</v>
      </c>
      <c r="C28" t="s">
        <v>130</v>
      </c>
      <c r="D28" s="4" t="s">
        <v>137</v>
      </c>
      <c r="E28" t="s">
        <v>21</v>
      </c>
      <c r="F28">
        <v>900027</v>
      </c>
      <c r="G28" s="4" t="s">
        <v>138</v>
      </c>
      <c r="I28" t="s">
        <v>467</v>
      </c>
      <c r="J28">
        <v>1</v>
      </c>
      <c r="K28">
        <v>1</v>
      </c>
      <c r="L28">
        <v>3</v>
      </c>
      <c r="M28" t="s">
        <v>139</v>
      </c>
      <c r="O28" t="str">
        <f t="shared" si="1"/>
        <v/>
      </c>
    </row>
    <row r="29" spans="1:15" ht="82.8" x14ac:dyDescent="0.25">
      <c r="A29" t="s">
        <v>140</v>
      </c>
      <c r="B29" s="4" t="s">
        <v>141</v>
      </c>
      <c r="C29" t="s">
        <v>130</v>
      </c>
      <c r="D29" s="4" t="s">
        <v>142</v>
      </c>
      <c r="E29" t="s">
        <v>21</v>
      </c>
      <c r="F29">
        <v>900028</v>
      </c>
      <c r="G29" s="4" t="s">
        <v>143</v>
      </c>
      <c r="I29" t="s">
        <v>467</v>
      </c>
      <c r="J29">
        <v>1</v>
      </c>
      <c r="K29">
        <v>1</v>
      </c>
      <c r="L29">
        <v>3</v>
      </c>
      <c r="M29" t="s">
        <v>144</v>
      </c>
      <c r="O29" t="str">
        <f t="shared" si="1"/>
        <v/>
      </c>
    </row>
    <row r="30" spans="1:15" ht="69" x14ac:dyDescent="0.25">
      <c r="A30" t="s">
        <v>145</v>
      </c>
      <c r="B30" s="4" t="s">
        <v>146</v>
      </c>
      <c r="C30" t="s">
        <v>130</v>
      </c>
      <c r="D30" s="4" t="s">
        <v>147</v>
      </c>
      <c r="E30" t="s">
        <v>21</v>
      </c>
      <c r="F30">
        <v>900029</v>
      </c>
      <c r="G30" s="4" t="s">
        <v>148</v>
      </c>
      <c r="I30" t="s">
        <v>467</v>
      </c>
      <c r="J30">
        <v>1</v>
      </c>
      <c r="K30">
        <v>2</v>
      </c>
      <c r="L30">
        <v>3</v>
      </c>
      <c r="M30" t="s">
        <v>149</v>
      </c>
      <c r="O30" t="str">
        <f t="shared" si="1"/>
        <v/>
      </c>
    </row>
    <row r="31" spans="1:15" ht="110.4" x14ac:dyDescent="0.25">
      <c r="A31" t="s">
        <v>150</v>
      </c>
      <c r="B31" s="4" t="s">
        <v>151</v>
      </c>
      <c r="C31" t="s">
        <v>130</v>
      </c>
      <c r="D31" s="4" t="s">
        <v>152</v>
      </c>
      <c r="E31" t="s">
        <v>21</v>
      </c>
      <c r="F31">
        <v>900030</v>
      </c>
      <c r="G31" s="4" t="s">
        <v>153</v>
      </c>
      <c r="I31" t="s">
        <v>467</v>
      </c>
      <c r="J31">
        <v>1</v>
      </c>
      <c r="K31">
        <v>1</v>
      </c>
      <c r="L31">
        <v>3</v>
      </c>
      <c r="M31" t="s">
        <v>154</v>
      </c>
      <c r="O31" t="str">
        <f t="shared" si="1"/>
        <v/>
      </c>
    </row>
    <row r="32" spans="1:15" ht="110.4" x14ac:dyDescent="0.25">
      <c r="A32" t="s">
        <v>155</v>
      </c>
      <c r="B32" s="4" t="s">
        <v>156</v>
      </c>
      <c r="C32" t="s">
        <v>130</v>
      </c>
      <c r="D32" s="4" t="s">
        <v>157</v>
      </c>
      <c r="E32" t="s">
        <v>21</v>
      </c>
      <c r="F32">
        <v>900031</v>
      </c>
      <c r="G32" s="4" t="s">
        <v>158</v>
      </c>
      <c r="I32" t="s">
        <v>37</v>
      </c>
      <c r="J32">
        <v>1</v>
      </c>
      <c r="K32">
        <v>3</v>
      </c>
      <c r="L32">
        <v>3</v>
      </c>
      <c r="M32" t="s">
        <v>157</v>
      </c>
      <c r="O32" t="str">
        <f t="shared" si="1"/>
        <v/>
      </c>
    </row>
    <row r="33" spans="1:15" ht="96.6" x14ac:dyDescent="0.25">
      <c r="A33" t="s">
        <v>159</v>
      </c>
      <c r="B33" s="4" t="s">
        <v>160</v>
      </c>
      <c r="C33" t="s">
        <v>130</v>
      </c>
      <c r="D33" s="4" t="s">
        <v>161</v>
      </c>
      <c r="E33" t="s">
        <v>21</v>
      </c>
      <c r="F33">
        <v>900032</v>
      </c>
      <c r="G33" s="4" t="s">
        <v>162</v>
      </c>
      <c r="I33" t="s">
        <v>467</v>
      </c>
      <c r="J33">
        <v>1</v>
      </c>
      <c r="K33">
        <v>2</v>
      </c>
      <c r="L33">
        <v>3</v>
      </c>
      <c r="M33" t="s">
        <v>163</v>
      </c>
      <c r="O33" t="str">
        <f t="shared" si="1"/>
        <v/>
      </c>
    </row>
    <row r="34" spans="1:15" ht="110.4" x14ac:dyDescent="0.25">
      <c r="A34" t="s">
        <v>164</v>
      </c>
      <c r="B34" s="4" t="s">
        <v>165</v>
      </c>
      <c r="C34" t="s">
        <v>130</v>
      </c>
      <c r="D34" s="4" t="s">
        <v>166</v>
      </c>
      <c r="E34" t="s">
        <v>21</v>
      </c>
      <c r="F34">
        <v>900033</v>
      </c>
      <c r="G34" s="4" t="s">
        <v>167</v>
      </c>
      <c r="I34" t="s">
        <v>467</v>
      </c>
      <c r="J34">
        <v>1</v>
      </c>
      <c r="K34">
        <v>2</v>
      </c>
      <c r="L34">
        <v>3</v>
      </c>
      <c r="M34" t="s">
        <v>168</v>
      </c>
      <c r="O34" t="str">
        <f t="shared" si="1"/>
        <v/>
      </c>
    </row>
    <row r="35" spans="1:15" ht="151.80000000000001" x14ac:dyDescent="0.25">
      <c r="A35" t="s">
        <v>169</v>
      </c>
      <c r="B35" s="4" t="s">
        <v>170</v>
      </c>
      <c r="C35" t="s">
        <v>130</v>
      </c>
      <c r="D35" s="4" t="s">
        <v>171</v>
      </c>
      <c r="E35" t="s">
        <v>21</v>
      </c>
      <c r="F35">
        <v>900034</v>
      </c>
      <c r="G35" s="4" t="s">
        <v>172</v>
      </c>
      <c r="I35" t="s">
        <v>467</v>
      </c>
      <c r="J35">
        <v>1</v>
      </c>
      <c r="K35">
        <v>2</v>
      </c>
      <c r="L35">
        <v>3</v>
      </c>
      <c r="M35" t="s">
        <v>173</v>
      </c>
      <c r="O35" t="str">
        <f t="shared" ref="O35:O66" si="2">IF(N35="正确",1,IF(N35="部分正确",0.5,IF(N35="错误",0,"")))</f>
        <v/>
      </c>
    </row>
    <row r="36" spans="1:15" ht="110.4" x14ac:dyDescent="0.25">
      <c r="A36" t="s">
        <v>174</v>
      </c>
      <c r="B36" s="4" t="s">
        <v>175</v>
      </c>
      <c r="C36" t="s">
        <v>130</v>
      </c>
      <c r="D36" s="4" t="s">
        <v>176</v>
      </c>
      <c r="E36" t="s">
        <v>177</v>
      </c>
      <c r="F36">
        <v>900035</v>
      </c>
      <c r="G36" s="4" t="s">
        <v>178</v>
      </c>
      <c r="I36" t="s">
        <v>467</v>
      </c>
      <c r="J36">
        <v>1</v>
      </c>
      <c r="K36">
        <v>2</v>
      </c>
      <c r="L36">
        <v>3</v>
      </c>
      <c r="M36" t="s">
        <v>179</v>
      </c>
      <c r="O36" t="str">
        <f t="shared" si="2"/>
        <v/>
      </c>
    </row>
    <row r="37" spans="1:15" ht="82.8" x14ac:dyDescent="0.25">
      <c r="A37" t="s">
        <v>180</v>
      </c>
      <c r="B37" s="4" t="s">
        <v>181</v>
      </c>
      <c r="C37" t="s">
        <v>182</v>
      </c>
      <c r="D37" s="4" t="s">
        <v>183</v>
      </c>
      <c r="E37" t="s">
        <v>89</v>
      </c>
      <c r="F37">
        <v>900036</v>
      </c>
      <c r="G37" s="4" t="s">
        <v>184</v>
      </c>
      <c r="I37" t="s">
        <v>467</v>
      </c>
      <c r="J37">
        <v>1</v>
      </c>
      <c r="K37">
        <v>0</v>
      </c>
      <c r="L37">
        <v>2</v>
      </c>
      <c r="O37" t="str">
        <f t="shared" si="2"/>
        <v/>
      </c>
    </row>
    <row r="38" spans="1:15" ht="69" x14ac:dyDescent="0.25">
      <c r="A38" t="s">
        <v>185</v>
      </c>
      <c r="B38" s="4" t="s">
        <v>186</v>
      </c>
      <c r="C38" t="s">
        <v>182</v>
      </c>
      <c r="D38" s="4" t="s">
        <v>187</v>
      </c>
      <c r="E38" t="s">
        <v>89</v>
      </c>
      <c r="F38">
        <v>900037</v>
      </c>
      <c r="G38" s="4" t="s">
        <v>188</v>
      </c>
      <c r="I38" t="s">
        <v>467</v>
      </c>
      <c r="J38">
        <v>1</v>
      </c>
      <c r="K38">
        <v>0</v>
      </c>
      <c r="L38">
        <v>2</v>
      </c>
      <c r="O38" t="str">
        <f t="shared" si="2"/>
        <v/>
      </c>
    </row>
    <row r="39" spans="1:15" ht="82.8" x14ac:dyDescent="0.25">
      <c r="A39" t="s">
        <v>189</v>
      </c>
      <c r="B39" s="4" t="s">
        <v>190</v>
      </c>
      <c r="C39" t="s">
        <v>182</v>
      </c>
      <c r="D39" s="4" t="s">
        <v>191</v>
      </c>
      <c r="E39" t="s">
        <v>89</v>
      </c>
      <c r="F39">
        <v>900038</v>
      </c>
      <c r="G39" s="4" t="s">
        <v>192</v>
      </c>
      <c r="I39" t="s">
        <v>467</v>
      </c>
      <c r="J39">
        <v>1</v>
      </c>
      <c r="K39">
        <v>1</v>
      </c>
      <c r="L39">
        <v>2</v>
      </c>
      <c r="M39" t="s">
        <v>193</v>
      </c>
      <c r="O39" t="str">
        <f t="shared" si="2"/>
        <v/>
      </c>
    </row>
    <row r="40" spans="1:15" ht="69" x14ac:dyDescent="0.25">
      <c r="A40" t="s">
        <v>194</v>
      </c>
      <c r="B40" s="4" t="s">
        <v>195</v>
      </c>
      <c r="C40" t="s">
        <v>182</v>
      </c>
      <c r="D40" s="4" t="s">
        <v>196</v>
      </c>
      <c r="E40" t="s">
        <v>89</v>
      </c>
      <c r="F40">
        <v>900039</v>
      </c>
      <c r="G40" s="4" t="s">
        <v>197</v>
      </c>
      <c r="I40" t="s">
        <v>467</v>
      </c>
      <c r="J40">
        <v>1</v>
      </c>
      <c r="K40">
        <v>0</v>
      </c>
      <c r="L40">
        <v>2</v>
      </c>
      <c r="O40" t="str">
        <f t="shared" si="2"/>
        <v/>
      </c>
    </row>
    <row r="41" spans="1:15" ht="82.8" x14ac:dyDescent="0.25">
      <c r="A41" t="s">
        <v>198</v>
      </c>
      <c r="B41" s="4" t="s">
        <v>199</v>
      </c>
      <c r="C41" t="s">
        <v>182</v>
      </c>
      <c r="D41" s="4" t="s">
        <v>200</v>
      </c>
      <c r="E41" t="s">
        <v>89</v>
      </c>
      <c r="F41">
        <v>900040</v>
      </c>
      <c r="G41" s="4" t="s">
        <v>201</v>
      </c>
      <c r="I41" t="s">
        <v>467</v>
      </c>
      <c r="J41">
        <v>1</v>
      </c>
      <c r="K41">
        <v>3</v>
      </c>
      <c r="L41">
        <v>4</v>
      </c>
      <c r="M41" t="s">
        <v>202</v>
      </c>
      <c r="O41" t="str">
        <f t="shared" si="2"/>
        <v/>
      </c>
    </row>
    <row r="42" spans="1:15" ht="124.2" x14ac:dyDescent="0.25">
      <c r="A42" t="s">
        <v>203</v>
      </c>
      <c r="B42" s="4" t="s">
        <v>204</v>
      </c>
      <c r="C42" t="s">
        <v>182</v>
      </c>
      <c r="D42" s="4" t="s">
        <v>205</v>
      </c>
      <c r="E42" t="s">
        <v>89</v>
      </c>
      <c r="F42">
        <v>900041</v>
      </c>
      <c r="G42" s="4" t="s">
        <v>206</v>
      </c>
      <c r="I42" t="s">
        <v>467</v>
      </c>
      <c r="J42">
        <v>1</v>
      </c>
      <c r="K42">
        <v>0</v>
      </c>
      <c r="L42">
        <v>2</v>
      </c>
      <c r="O42" t="str">
        <f t="shared" si="2"/>
        <v/>
      </c>
    </row>
    <row r="43" spans="1:15" ht="69" x14ac:dyDescent="0.25">
      <c r="A43" t="s">
        <v>207</v>
      </c>
      <c r="B43" s="4" t="s">
        <v>208</v>
      </c>
      <c r="C43" t="s">
        <v>182</v>
      </c>
      <c r="D43" s="4" t="s">
        <v>209</v>
      </c>
      <c r="E43" t="s">
        <v>89</v>
      </c>
      <c r="F43">
        <v>900042</v>
      </c>
      <c r="G43" s="4" t="s">
        <v>210</v>
      </c>
      <c r="I43" t="s">
        <v>467</v>
      </c>
      <c r="J43">
        <v>1</v>
      </c>
      <c r="K43">
        <v>0</v>
      </c>
      <c r="L43">
        <v>2</v>
      </c>
      <c r="O43" t="str">
        <f t="shared" si="2"/>
        <v/>
      </c>
    </row>
    <row r="44" spans="1:15" ht="55.2" x14ac:dyDescent="0.25">
      <c r="A44" t="s">
        <v>211</v>
      </c>
      <c r="B44" s="4" t="s">
        <v>212</v>
      </c>
      <c r="C44" t="s">
        <v>182</v>
      </c>
      <c r="D44" s="4" t="s">
        <v>213</v>
      </c>
      <c r="E44" t="s">
        <v>89</v>
      </c>
      <c r="F44">
        <v>900043</v>
      </c>
      <c r="G44" s="4" t="s">
        <v>214</v>
      </c>
      <c r="I44" t="s">
        <v>467</v>
      </c>
      <c r="J44">
        <v>1</v>
      </c>
      <c r="K44">
        <v>0</v>
      </c>
      <c r="L44">
        <v>2</v>
      </c>
      <c r="O44" t="str">
        <f t="shared" si="2"/>
        <v/>
      </c>
    </row>
    <row r="45" spans="1:15" ht="96.6" x14ac:dyDescent="0.25">
      <c r="A45" t="s">
        <v>215</v>
      </c>
      <c r="B45" s="4" t="s">
        <v>216</v>
      </c>
      <c r="C45" t="s">
        <v>182</v>
      </c>
      <c r="D45" s="4" t="s">
        <v>217</v>
      </c>
      <c r="E45" t="s">
        <v>89</v>
      </c>
      <c r="F45">
        <v>900044</v>
      </c>
      <c r="G45" s="4" t="s">
        <v>218</v>
      </c>
      <c r="I45" t="s">
        <v>467</v>
      </c>
      <c r="J45">
        <v>1</v>
      </c>
      <c r="K45">
        <v>1</v>
      </c>
      <c r="L45">
        <v>2</v>
      </c>
      <c r="M45" t="s">
        <v>219</v>
      </c>
      <c r="O45" t="str">
        <f t="shared" si="2"/>
        <v/>
      </c>
    </row>
    <row r="46" spans="1:15" ht="82.8" x14ac:dyDescent="0.25">
      <c r="A46" t="s">
        <v>220</v>
      </c>
      <c r="B46" s="4" t="s">
        <v>221</v>
      </c>
      <c r="C46" t="s">
        <v>182</v>
      </c>
      <c r="D46" s="4" t="s">
        <v>222</v>
      </c>
      <c r="E46" t="s">
        <v>89</v>
      </c>
      <c r="F46">
        <v>900045</v>
      </c>
      <c r="G46" s="4" t="s">
        <v>223</v>
      </c>
      <c r="I46" t="s">
        <v>467</v>
      </c>
      <c r="J46">
        <v>1</v>
      </c>
      <c r="K46">
        <v>0</v>
      </c>
      <c r="L46">
        <v>2</v>
      </c>
      <c r="O46" t="str">
        <f t="shared" si="2"/>
        <v/>
      </c>
    </row>
    <row r="47" spans="1:15" ht="41.4" x14ac:dyDescent="0.25">
      <c r="A47" t="s">
        <v>224</v>
      </c>
      <c r="B47" s="4" t="s">
        <v>225</v>
      </c>
      <c r="C47" t="s">
        <v>226</v>
      </c>
      <c r="D47" s="4" t="s">
        <v>227</v>
      </c>
      <c r="E47" t="s">
        <v>132</v>
      </c>
      <c r="F47">
        <v>900046</v>
      </c>
      <c r="G47" s="4" t="s">
        <v>228</v>
      </c>
      <c r="I47" t="s">
        <v>467</v>
      </c>
      <c r="J47">
        <v>1</v>
      </c>
      <c r="K47">
        <v>0</v>
      </c>
      <c r="L47">
        <v>2</v>
      </c>
      <c r="O47" t="str">
        <f t="shared" si="2"/>
        <v/>
      </c>
    </row>
    <row r="48" spans="1:15" ht="55.2" x14ac:dyDescent="0.25">
      <c r="A48" t="s">
        <v>229</v>
      </c>
      <c r="B48" s="4" t="s">
        <v>230</v>
      </c>
      <c r="C48" t="s">
        <v>226</v>
      </c>
      <c r="D48" s="4" t="s">
        <v>231</v>
      </c>
      <c r="E48" t="s">
        <v>132</v>
      </c>
      <c r="F48">
        <v>900047</v>
      </c>
      <c r="G48" s="4" t="s">
        <v>232</v>
      </c>
      <c r="I48" t="s">
        <v>467</v>
      </c>
      <c r="J48">
        <v>1</v>
      </c>
      <c r="K48">
        <v>0</v>
      </c>
      <c r="L48">
        <v>2</v>
      </c>
      <c r="O48" t="str">
        <f t="shared" si="2"/>
        <v/>
      </c>
    </row>
    <row r="49" spans="1:15" ht="27.6" x14ac:dyDescent="0.25">
      <c r="A49" t="s">
        <v>233</v>
      </c>
      <c r="B49" s="4" t="s">
        <v>234</v>
      </c>
      <c r="C49" t="s">
        <v>226</v>
      </c>
      <c r="D49" s="4" t="s">
        <v>235</v>
      </c>
      <c r="E49" t="s">
        <v>132</v>
      </c>
      <c r="F49">
        <v>900048</v>
      </c>
      <c r="G49" s="4" t="s">
        <v>236</v>
      </c>
      <c r="I49" t="s">
        <v>467</v>
      </c>
      <c r="J49">
        <v>1</v>
      </c>
      <c r="K49">
        <v>1</v>
      </c>
      <c r="L49">
        <v>2</v>
      </c>
      <c r="M49" t="s">
        <v>237</v>
      </c>
      <c r="O49" t="str">
        <f t="shared" si="2"/>
        <v/>
      </c>
    </row>
    <row r="50" spans="1:15" ht="138" x14ac:dyDescent="0.25">
      <c r="A50" t="s">
        <v>238</v>
      </c>
      <c r="B50" s="4" t="s">
        <v>239</v>
      </c>
      <c r="C50" t="s">
        <v>182</v>
      </c>
      <c r="D50" s="4" t="s">
        <v>240</v>
      </c>
      <c r="E50" t="s">
        <v>89</v>
      </c>
      <c r="F50">
        <v>900049</v>
      </c>
      <c r="G50" s="4" t="s">
        <v>241</v>
      </c>
      <c r="I50" t="s">
        <v>467</v>
      </c>
      <c r="J50">
        <v>1</v>
      </c>
      <c r="K50">
        <v>0</v>
      </c>
      <c r="L50">
        <v>2</v>
      </c>
      <c r="O50" t="str">
        <f t="shared" si="2"/>
        <v/>
      </c>
    </row>
    <row r="51" spans="1:15" ht="69" x14ac:dyDescent="0.25">
      <c r="A51" t="s">
        <v>242</v>
      </c>
      <c r="B51" s="4" t="s">
        <v>243</v>
      </c>
      <c r="C51" t="s">
        <v>182</v>
      </c>
      <c r="D51" s="4" t="s">
        <v>244</v>
      </c>
      <c r="E51" t="s">
        <v>89</v>
      </c>
      <c r="F51">
        <v>900050</v>
      </c>
      <c r="G51" s="4" t="s">
        <v>245</v>
      </c>
      <c r="I51" t="s">
        <v>467</v>
      </c>
      <c r="J51">
        <v>1</v>
      </c>
      <c r="K51">
        <v>0</v>
      </c>
      <c r="L51">
        <v>2</v>
      </c>
      <c r="O51" t="str">
        <f t="shared" si="2"/>
        <v/>
      </c>
    </row>
    <row r="52" spans="1:15" ht="55.2" x14ac:dyDescent="0.25">
      <c r="A52" t="s">
        <v>246</v>
      </c>
      <c r="B52" s="4" t="s">
        <v>247</v>
      </c>
      <c r="C52" t="s">
        <v>248</v>
      </c>
      <c r="D52" s="4" t="s">
        <v>249</v>
      </c>
      <c r="E52" t="s">
        <v>89</v>
      </c>
      <c r="F52">
        <v>900051</v>
      </c>
      <c r="G52" s="4" t="s">
        <v>250</v>
      </c>
      <c r="I52" t="s">
        <v>467</v>
      </c>
      <c r="J52">
        <v>1</v>
      </c>
      <c r="K52">
        <v>0</v>
      </c>
      <c r="L52">
        <v>2</v>
      </c>
      <c r="O52" t="str">
        <f t="shared" si="2"/>
        <v/>
      </c>
    </row>
    <row r="53" spans="1:15" ht="96.6" x14ac:dyDescent="0.25">
      <c r="A53" t="s">
        <v>251</v>
      </c>
      <c r="B53" s="4" t="s">
        <v>252</v>
      </c>
      <c r="C53" t="s">
        <v>248</v>
      </c>
      <c r="D53" s="4" t="s">
        <v>253</v>
      </c>
      <c r="E53" t="s">
        <v>89</v>
      </c>
      <c r="F53">
        <v>900052</v>
      </c>
      <c r="G53" s="4" t="s">
        <v>254</v>
      </c>
      <c r="I53" t="s">
        <v>467</v>
      </c>
      <c r="J53">
        <v>1</v>
      </c>
      <c r="K53">
        <v>1</v>
      </c>
      <c r="L53">
        <v>3</v>
      </c>
      <c r="M53" t="s">
        <v>255</v>
      </c>
      <c r="O53" t="str">
        <f t="shared" si="2"/>
        <v/>
      </c>
    </row>
    <row r="54" spans="1:15" ht="69" x14ac:dyDescent="0.25">
      <c r="A54" t="s">
        <v>256</v>
      </c>
      <c r="B54" s="4" t="s">
        <v>257</v>
      </c>
      <c r="C54" t="s">
        <v>248</v>
      </c>
      <c r="D54" s="4" t="s">
        <v>258</v>
      </c>
      <c r="E54" t="s">
        <v>89</v>
      </c>
      <c r="F54">
        <v>900053</v>
      </c>
      <c r="G54" s="4" t="s">
        <v>259</v>
      </c>
      <c r="I54" t="s">
        <v>467</v>
      </c>
      <c r="J54">
        <v>1</v>
      </c>
      <c r="K54">
        <v>1</v>
      </c>
      <c r="L54">
        <v>2</v>
      </c>
      <c r="M54" t="s">
        <v>260</v>
      </c>
      <c r="O54" t="str">
        <f t="shared" si="2"/>
        <v/>
      </c>
    </row>
    <row r="55" spans="1:15" ht="82.8" x14ac:dyDescent="0.25">
      <c r="A55" t="s">
        <v>261</v>
      </c>
      <c r="B55" s="4" t="s">
        <v>262</v>
      </c>
      <c r="C55" t="s">
        <v>248</v>
      </c>
      <c r="D55" s="4" t="s">
        <v>263</v>
      </c>
      <c r="E55" t="s">
        <v>89</v>
      </c>
      <c r="F55">
        <v>900054</v>
      </c>
      <c r="G55" s="4" t="s">
        <v>264</v>
      </c>
      <c r="I55" t="s">
        <v>467</v>
      </c>
      <c r="J55">
        <v>1</v>
      </c>
      <c r="K55">
        <v>1</v>
      </c>
      <c r="L55">
        <v>2</v>
      </c>
      <c r="M55" t="s">
        <v>265</v>
      </c>
      <c r="O55" t="str">
        <f t="shared" si="2"/>
        <v/>
      </c>
    </row>
    <row r="56" spans="1:15" ht="96.6" x14ac:dyDescent="0.25">
      <c r="A56" t="s">
        <v>266</v>
      </c>
      <c r="B56" s="4" t="s">
        <v>267</v>
      </c>
      <c r="C56" t="s">
        <v>248</v>
      </c>
      <c r="D56" s="4" t="s">
        <v>268</v>
      </c>
      <c r="E56" t="s">
        <v>89</v>
      </c>
      <c r="F56">
        <v>900055</v>
      </c>
      <c r="G56" s="4" t="s">
        <v>269</v>
      </c>
      <c r="I56" t="s">
        <v>467</v>
      </c>
      <c r="J56">
        <v>1</v>
      </c>
      <c r="K56">
        <v>0</v>
      </c>
      <c r="L56">
        <v>2</v>
      </c>
      <c r="O56" t="str">
        <f t="shared" si="2"/>
        <v/>
      </c>
    </row>
    <row r="57" spans="1:15" ht="110.4" x14ac:dyDescent="0.25">
      <c r="A57" t="s">
        <v>270</v>
      </c>
      <c r="B57" s="4" t="s">
        <v>271</v>
      </c>
      <c r="C57" t="s">
        <v>248</v>
      </c>
      <c r="D57" s="4" t="s">
        <v>272</v>
      </c>
      <c r="E57" t="s">
        <v>89</v>
      </c>
      <c r="F57">
        <v>900056</v>
      </c>
      <c r="G57" s="4" t="s">
        <v>273</v>
      </c>
      <c r="I57" t="s">
        <v>467</v>
      </c>
      <c r="J57">
        <v>1</v>
      </c>
      <c r="K57">
        <v>0</v>
      </c>
      <c r="L57">
        <v>2</v>
      </c>
      <c r="O57" t="str">
        <f t="shared" si="2"/>
        <v/>
      </c>
    </row>
    <row r="58" spans="1:15" ht="55.2" x14ac:dyDescent="0.25">
      <c r="A58" t="s">
        <v>274</v>
      </c>
      <c r="B58" s="4" t="s">
        <v>275</v>
      </c>
      <c r="C58" t="s">
        <v>248</v>
      </c>
      <c r="D58" s="4" t="s">
        <v>276</v>
      </c>
      <c r="E58" t="s">
        <v>89</v>
      </c>
      <c r="F58">
        <v>900057</v>
      </c>
      <c r="G58" s="4" t="s">
        <v>277</v>
      </c>
      <c r="I58" t="s">
        <v>468</v>
      </c>
      <c r="J58">
        <v>1</v>
      </c>
      <c r="K58">
        <v>0</v>
      </c>
      <c r="L58">
        <v>2</v>
      </c>
      <c r="O58" t="str">
        <f t="shared" si="2"/>
        <v/>
      </c>
    </row>
    <row r="59" spans="1:15" ht="69" x14ac:dyDescent="0.25">
      <c r="A59" t="s">
        <v>278</v>
      </c>
      <c r="B59" s="4" t="s">
        <v>279</v>
      </c>
      <c r="C59" t="s">
        <v>248</v>
      </c>
      <c r="D59" s="4" t="s">
        <v>280</v>
      </c>
      <c r="E59" t="s">
        <v>89</v>
      </c>
      <c r="F59">
        <v>900058</v>
      </c>
      <c r="G59" s="4" t="s">
        <v>281</v>
      </c>
      <c r="I59" t="s">
        <v>467</v>
      </c>
      <c r="J59">
        <v>1</v>
      </c>
      <c r="K59">
        <v>0</v>
      </c>
      <c r="L59">
        <v>2</v>
      </c>
      <c r="O59" t="str">
        <f t="shared" si="2"/>
        <v/>
      </c>
    </row>
    <row r="60" spans="1:15" ht="138" x14ac:dyDescent="0.25">
      <c r="A60" t="s">
        <v>282</v>
      </c>
      <c r="B60" s="4" t="s">
        <v>283</v>
      </c>
      <c r="C60" t="s">
        <v>182</v>
      </c>
      <c r="D60" s="4" t="s">
        <v>284</v>
      </c>
      <c r="E60" t="s">
        <v>89</v>
      </c>
      <c r="F60">
        <v>900059</v>
      </c>
      <c r="G60" s="4" t="s">
        <v>285</v>
      </c>
      <c r="I60" t="s">
        <v>467</v>
      </c>
      <c r="J60">
        <v>1</v>
      </c>
      <c r="K60">
        <v>0</v>
      </c>
      <c r="L60">
        <v>2</v>
      </c>
      <c r="O60" t="str">
        <f t="shared" si="2"/>
        <v/>
      </c>
    </row>
    <row r="61" spans="1:15" ht="69" x14ac:dyDescent="0.25">
      <c r="A61" t="s">
        <v>286</v>
      </c>
      <c r="B61" s="4" t="s">
        <v>287</v>
      </c>
      <c r="C61" t="s">
        <v>182</v>
      </c>
      <c r="D61" s="4" t="s">
        <v>288</v>
      </c>
      <c r="E61" t="s">
        <v>89</v>
      </c>
      <c r="F61">
        <v>900060</v>
      </c>
      <c r="G61" s="4" t="s">
        <v>289</v>
      </c>
      <c r="I61" t="s">
        <v>467</v>
      </c>
      <c r="J61">
        <v>1</v>
      </c>
      <c r="K61">
        <v>0</v>
      </c>
      <c r="L61">
        <v>2</v>
      </c>
      <c r="O61" t="str">
        <f t="shared" si="2"/>
        <v/>
      </c>
    </row>
    <row r="62" spans="1:15" ht="110.4" x14ac:dyDescent="0.25">
      <c r="A62" t="s">
        <v>290</v>
      </c>
      <c r="B62" s="4" t="s">
        <v>291</v>
      </c>
      <c r="C62" t="s">
        <v>292</v>
      </c>
      <c r="D62" s="4" t="s">
        <v>293</v>
      </c>
      <c r="E62" t="s">
        <v>132</v>
      </c>
      <c r="F62">
        <v>900061</v>
      </c>
      <c r="G62" s="4" t="s">
        <v>294</v>
      </c>
      <c r="I62" t="s">
        <v>467</v>
      </c>
      <c r="J62">
        <v>1</v>
      </c>
      <c r="K62">
        <v>1</v>
      </c>
      <c r="L62">
        <v>2</v>
      </c>
      <c r="M62" t="s">
        <v>23</v>
      </c>
      <c r="O62" t="str">
        <f t="shared" si="2"/>
        <v/>
      </c>
    </row>
    <row r="63" spans="1:15" ht="69" x14ac:dyDescent="0.25">
      <c r="A63" t="s">
        <v>295</v>
      </c>
      <c r="B63" s="4" t="s">
        <v>296</v>
      </c>
      <c r="C63" t="s">
        <v>292</v>
      </c>
      <c r="D63" s="4" t="s">
        <v>42</v>
      </c>
      <c r="E63" t="s">
        <v>21</v>
      </c>
      <c r="F63">
        <v>900062</v>
      </c>
      <c r="G63" s="4" t="s">
        <v>297</v>
      </c>
      <c r="I63" t="s">
        <v>37</v>
      </c>
      <c r="J63">
        <v>1</v>
      </c>
      <c r="K63">
        <v>1</v>
      </c>
      <c r="L63">
        <v>1</v>
      </c>
      <c r="M63" t="s">
        <v>42</v>
      </c>
      <c r="O63" t="str">
        <f t="shared" si="2"/>
        <v/>
      </c>
    </row>
    <row r="64" spans="1:15" ht="69" x14ac:dyDescent="0.25">
      <c r="A64" t="s">
        <v>298</v>
      </c>
      <c r="B64" s="4" t="s">
        <v>299</v>
      </c>
      <c r="C64" t="s">
        <v>292</v>
      </c>
      <c r="D64" s="4" t="s">
        <v>35</v>
      </c>
      <c r="E64" t="s">
        <v>21</v>
      </c>
      <c r="F64">
        <v>900063</v>
      </c>
      <c r="G64" s="4" t="s">
        <v>300</v>
      </c>
      <c r="I64" t="s">
        <v>37</v>
      </c>
      <c r="J64">
        <v>1</v>
      </c>
      <c r="K64">
        <v>1</v>
      </c>
      <c r="L64">
        <v>1</v>
      </c>
      <c r="M64" t="s">
        <v>35</v>
      </c>
      <c r="O64" t="str">
        <f t="shared" si="2"/>
        <v/>
      </c>
    </row>
    <row r="65" spans="1:17" ht="82.8" x14ac:dyDescent="0.25">
      <c r="A65" t="s">
        <v>301</v>
      </c>
      <c r="B65" s="4" t="s">
        <v>302</v>
      </c>
      <c r="C65" t="s">
        <v>292</v>
      </c>
      <c r="D65" s="4" t="s">
        <v>47</v>
      </c>
      <c r="E65" t="s">
        <v>21</v>
      </c>
      <c r="F65">
        <v>900064</v>
      </c>
      <c r="G65" s="4" t="s">
        <v>303</v>
      </c>
      <c r="I65" t="s">
        <v>37</v>
      </c>
      <c r="J65">
        <v>1</v>
      </c>
      <c r="K65">
        <v>1</v>
      </c>
      <c r="L65">
        <v>1</v>
      </c>
      <c r="M65" t="s">
        <v>47</v>
      </c>
      <c r="O65" t="str">
        <f t="shared" si="2"/>
        <v/>
      </c>
    </row>
    <row r="66" spans="1:17" ht="82.8" x14ac:dyDescent="0.25">
      <c r="A66" t="s">
        <v>304</v>
      </c>
      <c r="B66" s="4" t="s">
        <v>305</v>
      </c>
      <c r="C66" t="s">
        <v>292</v>
      </c>
      <c r="D66" s="4" t="s">
        <v>50</v>
      </c>
      <c r="E66" t="s">
        <v>21</v>
      </c>
      <c r="F66">
        <v>900065</v>
      </c>
      <c r="G66" s="4" t="s">
        <v>306</v>
      </c>
      <c r="I66" t="s">
        <v>37</v>
      </c>
      <c r="J66">
        <v>1</v>
      </c>
      <c r="K66">
        <v>1</v>
      </c>
      <c r="L66">
        <v>1</v>
      </c>
      <c r="M66" t="s">
        <v>50</v>
      </c>
      <c r="O66" t="str">
        <f t="shared" si="2"/>
        <v/>
      </c>
    </row>
    <row r="67" spans="1:17" ht="69" x14ac:dyDescent="0.25">
      <c r="A67" t="s">
        <v>307</v>
      </c>
      <c r="B67" s="4" t="s">
        <v>308</v>
      </c>
      <c r="C67" t="s">
        <v>292</v>
      </c>
      <c r="D67" s="4" t="s">
        <v>58</v>
      </c>
      <c r="E67" t="s">
        <v>21</v>
      </c>
      <c r="F67">
        <v>900066</v>
      </c>
      <c r="G67" s="4" t="s">
        <v>309</v>
      </c>
      <c r="I67" t="s">
        <v>37</v>
      </c>
      <c r="J67">
        <v>1</v>
      </c>
      <c r="K67">
        <v>1</v>
      </c>
      <c r="L67">
        <v>1</v>
      </c>
      <c r="M67" t="s">
        <v>58</v>
      </c>
      <c r="O67" t="str">
        <f t="shared" ref="O67:O98" si="3">IF(N67="正确",1,IF(N67="部分正确",0.5,IF(N67="错误",0,"")))</f>
        <v/>
      </c>
    </row>
    <row r="68" spans="1:17" ht="41.4" x14ac:dyDescent="0.25">
      <c r="A68" t="s">
        <v>310</v>
      </c>
      <c r="B68" s="4" t="s">
        <v>311</v>
      </c>
      <c r="C68" t="s">
        <v>292</v>
      </c>
      <c r="D68" s="4" t="s">
        <v>62</v>
      </c>
      <c r="E68" t="s">
        <v>21</v>
      </c>
      <c r="F68">
        <v>900067</v>
      </c>
      <c r="G68" s="4" t="s">
        <v>312</v>
      </c>
      <c r="I68" t="s">
        <v>37</v>
      </c>
      <c r="J68">
        <v>1</v>
      </c>
      <c r="K68">
        <v>1</v>
      </c>
      <c r="L68">
        <v>1</v>
      </c>
      <c r="M68" t="s">
        <v>62</v>
      </c>
      <c r="O68" t="str">
        <f t="shared" si="3"/>
        <v/>
      </c>
    </row>
    <row r="69" spans="1:17" ht="82.8" x14ac:dyDescent="0.25">
      <c r="A69" t="s">
        <v>313</v>
      </c>
      <c r="B69" s="4" t="s">
        <v>314</v>
      </c>
      <c r="C69" t="s">
        <v>292</v>
      </c>
      <c r="D69" s="4" t="s">
        <v>315</v>
      </c>
      <c r="E69" t="s">
        <v>21</v>
      </c>
      <c r="F69">
        <v>900068</v>
      </c>
      <c r="G69" s="4" t="s">
        <v>316</v>
      </c>
      <c r="I69" t="s">
        <v>467</v>
      </c>
      <c r="J69">
        <v>1</v>
      </c>
      <c r="K69">
        <v>0</v>
      </c>
      <c r="L69">
        <v>1</v>
      </c>
      <c r="O69" t="str">
        <f t="shared" si="3"/>
        <v/>
      </c>
    </row>
    <row r="70" spans="1:17" ht="82.8" x14ac:dyDescent="0.25">
      <c r="A70" t="s">
        <v>317</v>
      </c>
      <c r="B70" s="4" t="s">
        <v>318</v>
      </c>
      <c r="C70" t="s">
        <v>292</v>
      </c>
      <c r="D70" s="4" t="s">
        <v>68</v>
      </c>
      <c r="E70" t="s">
        <v>21</v>
      </c>
      <c r="F70">
        <v>900069</v>
      </c>
      <c r="G70" s="4" t="s">
        <v>319</v>
      </c>
      <c r="I70" t="s">
        <v>37</v>
      </c>
      <c r="J70">
        <v>1</v>
      </c>
      <c r="K70">
        <v>1</v>
      </c>
      <c r="L70">
        <v>1</v>
      </c>
      <c r="M70" t="s">
        <v>68</v>
      </c>
      <c r="O70" t="str">
        <f t="shared" si="3"/>
        <v/>
      </c>
    </row>
    <row r="71" spans="1:17" ht="82.8" x14ac:dyDescent="0.25">
      <c r="A71" t="s">
        <v>320</v>
      </c>
      <c r="B71" s="4" t="s">
        <v>321</v>
      </c>
      <c r="C71" t="s">
        <v>292</v>
      </c>
      <c r="D71" s="4" t="s">
        <v>54</v>
      </c>
      <c r="E71" t="s">
        <v>177</v>
      </c>
      <c r="F71">
        <v>900070</v>
      </c>
      <c r="G71" s="4" t="s">
        <v>322</v>
      </c>
      <c r="I71" t="s">
        <v>37</v>
      </c>
      <c r="J71">
        <v>1</v>
      </c>
      <c r="K71">
        <v>1</v>
      </c>
      <c r="L71">
        <v>1</v>
      </c>
      <c r="M71" t="s">
        <v>54</v>
      </c>
      <c r="O71" t="str">
        <f t="shared" si="3"/>
        <v/>
      </c>
    </row>
    <row r="72" spans="1:17" ht="69" x14ac:dyDescent="0.25">
      <c r="A72" t="s">
        <v>323</v>
      </c>
      <c r="B72" s="4" t="s">
        <v>324</v>
      </c>
      <c r="C72" t="s">
        <v>325</v>
      </c>
      <c r="D72" s="4" t="s">
        <v>326</v>
      </c>
      <c r="E72" t="s">
        <v>89</v>
      </c>
      <c r="F72">
        <v>900071</v>
      </c>
      <c r="G72" s="4" t="s">
        <v>327</v>
      </c>
      <c r="I72" t="s">
        <v>467</v>
      </c>
      <c r="J72">
        <v>1</v>
      </c>
      <c r="K72">
        <v>0</v>
      </c>
      <c r="L72">
        <v>2</v>
      </c>
      <c r="O72" t="str">
        <f t="shared" si="3"/>
        <v/>
      </c>
    </row>
    <row r="73" spans="1:17" ht="165.6" x14ac:dyDescent="0.25">
      <c r="A73" t="s">
        <v>328</v>
      </c>
      <c r="B73" s="4" t="s">
        <v>329</v>
      </c>
      <c r="C73" t="s">
        <v>325</v>
      </c>
      <c r="D73" s="4" t="s">
        <v>330</v>
      </c>
      <c r="E73" t="s">
        <v>132</v>
      </c>
      <c r="F73">
        <v>900072</v>
      </c>
      <c r="G73" s="4" t="s">
        <v>331</v>
      </c>
      <c r="I73" t="s">
        <v>467</v>
      </c>
      <c r="J73">
        <v>1</v>
      </c>
      <c r="K73">
        <v>1</v>
      </c>
      <c r="L73">
        <v>2</v>
      </c>
      <c r="M73" t="s">
        <v>260</v>
      </c>
      <c r="O73" t="str">
        <f t="shared" si="3"/>
        <v/>
      </c>
    </row>
    <row r="74" spans="1:17" ht="82.8" x14ac:dyDescent="0.25">
      <c r="A74" t="s">
        <v>332</v>
      </c>
      <c r="B74" s="4" t="s">
        <v>333</v>
      </c>
      <c r="C74" t="s">
        <v>325</v>
      </c>
      <c r="D74" s="4" t="s">
        <v>334</v>
      </c>
      <c r="E74" t="s">
        <v>89</v>
      </c>
      <c r="F74">
        <v>900073</v>
      </c>
      <c r="G74" s="4" t="s">
        <v>335</v>
      </c>
      <c r="I74" t="s">
        <v>467</v>
      </c>
      <c r="J74">
        <v>1</v>
      </c>
      <c r="K74">
        <v>1</v>
      </c>
      <c r="L74">
        <v>2</v>
      </c>
      <c r="M74" t="s">
        <v>336</v>
      </c>
      <c r="O74" t="str">
        <f t="shared" si="3"/>
        <v/>
      </c>
    </row>
    <row r="75" spans="1:17" ht="138" x14ac:dyDescent="0.25">
      <c r="A75" t="s">
        <v>337</v>
      </c>
      <c r="B75" s="4" t="s">
        <v>338</v>
      </c>
      <c r="C75" t="s">
        <v>325</v>
      </c>
      <c r="D75" s="4" t="s">
        <v>339</v>
      </c>
      <c r="E75" t="s">
        <v>89</v>
      </c>
      <c r="F75">
        <v>900074</v>
      </c>
      <c r="G75" s="4" t="s">
        <v>340</v>
      </c>
      <c r="I75" t="s">
        <v>467</v>
      </c>
      <c r="J75">
        <v>1</v>
      </c>
      <c r="K75">
        <v>1</v>
      </c>
      <c r="L75">
        <v>2</v>
      </c>
      <c r="M75" t="s">
        <v>341</v>
      </c>
      <c r="O75" t="str">
        <f t="shared" si="3"/>
        <v/>
      </c>
    </row>
    <row r="76" spans="1:17" ht="27.6" x14ac:dyDescent="0.25">
      <c r="A76" t="s">
        <v>342</v>
      </c>
      <c r="B76" s="4" t="s">
        <v>343</v>
      </c>
      <c r="C76" t="s">
        <v>325</v>
      </c>
      <c r="D76" s="4" t="s">
        <v>344</v>
      </c>
      <c r="E76" t="s">
        <v>132</v>
      </c>
      <c r="F76">
        <v>900075</v>
      </c>
      <c r="I76" t="s">
        <v>345</v>
      </c>
      <c r="J76">
        <v>0</v>
      </c>
      <c r="K76">
        <v>0</v>
      </c>
      <c r="L76">
        <v>0</v>
      </c>
      <c r="O76" t="str">
        <f t="shared" si="3"/>
        <v/>
      </c>
      <c r="P76" s="4" t="s">
        <v>346</v>
      </c>
      <c r="Q76" s="4" t="s">
        <v>347</v>
      </c>
    </row>
    <row r="77" spans="1:17" ht="69" x14ac:dyDescent="0.25">
      <c r="A77" t="s">
        <v>348</v>
      </c>
      <c r="B77" s="4" t="s">
        <v>349</v>
      </c>
      <c r="C77" t="s">
        <v>325</v>
      </c>
      <c r="D77" s="4" t="s">
        <v>350</v>
      </c>
      <c r="E77" t="s">
        <v>89</v>
      </c>
      <c r="F77">
        <v>900076</v>
      </c>
      <c r="G77" s="4" t="s">
        <v>351</v>
      </c>
      <c r="I77" t="s">
        <v>467</v>
      </c>
      <c r="J77">
        <v>1</v>
      </c>
      <c r="K77">
        <v>1</v>
      </c>
      <c r="L77">
        <v>2</v>
      </c>
      <c r="M77" t="s">
        <v>260</v>
      </c>
      <c r="O77" t="str">
        <f t="shared" si="3"/>
        <v/>
      </c>
    </row>
    <row r="78" spans="1:17" ht="82.8" x14ac:dyDescent="0.25">
      <c r="A78" t="s">
        <v>352</v>
      </c>
      <c r="B78" s="4" t="s">
        <v>353</v>
      </c>
      <c r="C78" t="s">
        <v>325</v>
      </c>
      <c r="D78" s="4" t="s">
        <v>354</v>
      </c>
      <c r="E78" t="s">
        <v>89</v>
      </c>
      <c r="F78">
        <v>900077</v>
      </c>
      <c r="G78" s="4" t="s">
        <v>355</v>
      </c>
      <c r="I78" t="s">
        <v>32</v>
      </c>
      <c r="J78">
        <v>0</v>
      </c>
      <c r="K78">
        <v>0</v>
      </c>
      <c r="L78">
        <v>2</v>
      </c>
      <c r="O78" t="str">
        <f t="shared" si="3"/>
        <v/>
      </c>
    </row>
    <row r="79" spans="1:17" ht="96.6" x14ac:dyDescent="0.25">
      <c r="A79" t="s">
        <v>356</v>
      </c>
      <c r="B79" s="4" t="s">
        <v>357</v>
      </c>
      <c r="C79" t="s">
        <v>325</v>
      </c>
      <c r="D79" s="4" t="s">
        <v>358</v>
      </c>
      <c r="E79" t="s">
        <v>89</v>
      </c>
      <c r="F79">
        <v>900078</v>
      </c>
      <c r="G79" s="4" t="s">
        <v>359</v>
      </c>
      <c r="I79" t="s">
        <v>467</v>
      </c>
      <c r="J79">
        <v>1</v>
      </c>
      <c r="K79">
        <v>1</v>
      </c>
      <c r="L79">
        <v>2</v>
      </c>
      <c r="M79" t="s">
        <v>260</v>
      </c>
      <c r="O79" t="str">
        <f t="shared" si="3"/>
        <v/>
      </c>
    </row>
    <row r="80" spans="1:17" ht="82.8" x14ac:dyDescent="0.25">
      <c r="A80" t="s">
        <v>360</v>
      </c>
      <c r="B80" s="4" t="s">
        <v>361</v>
      </c>
      <c r="C80" t="s">
        <v>182</v>
      </c>
      <c r="D80" s="4" t="s">
        <v>362</v>
      </c>
      <c r="E80" t="s">
        <v>89</v>
      </c>
      <c r="F80">
        <v>900079</v>
      </c>
      <c r="G80" s="4" t="s">
        <v>363</v>
      </c>
      <c r="I80" t="s">
        <v>467</v>
      </c>
      <c r="J80">
        <v>1</v>
      </c>
      <c r="K80">
        <v>0</v>
      </c>
      <c r="L80">
        <v>1</v>
      </c>
      <c r="O80" t="str">
        <f t="shared" si="3"/>
        <v/>
      </c>
    </row>
    <row r="81" spans="1:15" ht="55.2" x14ac:dyDescent="0.25">
      <c r="A81" t="s">
        <v>364</v>
      </c>
      <c r="B81" s="4" t="s">
        <v>365</v>
      </c>
      <c r="C81" t="s">
        <v>325</v>
      </c>
      <c r="D81" s="4" t="s">
        <v>366</v>
      </c>
      <c r="E81" t="s">
        <v>21</v>
      </c>
      <c r="F81">
        <v>900080</v>
      </c>
      <c r="G81" s="4" t="s">
        <v>367</v>
      </c>
      <c r="I81" t="s">
        <v>467</v>
      </c>
      <c r="J81">
        <v>1</v>
      </c>
      <c r="K81">
        <v>1</v>
      </c>
      <c r="L81">
        <v>2</v>
      </c>
      <c r="M81" t="s">
        <v>336</v>
      </c>
      <c r="O81" t="str">
        <f t="shared" si="3"/>
        <v/>
      </c>
    </row>
    <row r="82" spans="1:15" ht="69" x14ac:dyDescent="0.25">
      <c r="A82" t="s">
        <v>368</v>
      </c>
      <c r="B82" s="4" t="s">
        <v>369</v>
      </c>
      <c r="C82" t="s">
        <v>370</v>
      </c>
      <c r="D82" s="4" t="s">
        <v>371</v>
      </c>
      <c r="E82" t="s">
        <v>132</v>
      </c>
      <c r="F82">
        <v>900081</v>
      </c>
      <c r="G82" s="4" t="s">
        <v>372</v>
      </c>
      <c r="I82" t="s">
        <v>467</v>
      </c>
      <c r="J82">
        <v>1</v>
      </c>
      <c r="K82">
        <v>1</v>
      </c>
      <c r="L82">
        <v>2</v>
      </c>
      <c r="M82" t="s">
        <v>373</v>
      </c>
      <c r="O82" t="str">
        <f t="shared" si="3"/>
        <v/>
      </c>
    </row>
    <row r="83" spans="1:15" ht="96.6" x14ac:dyDescent="0.25">
      <c r="A83" t="s">
        <v>374</v>
      </c>
      <c r="B83" s="4" t="s">
        <v>375</v>
      </c>
      <c r="C83" t="s">
        <v>370</v>
      </c>
      <c r="D83" s="4" t="s">
        <v>376</v>
      </c>
      <c r="E83" t="s">
        <v>21</v>
      </c>
      <c r="F83">
        <v>900082</v>
      </c>
      <c r="G83" s="4" t="s">
        <v>377</v>
      </c>
      <c r="I83" t="s">
        <v>467</v>
      </c>
      <c r="J83">
        <v>1</v>
      </c>
      <c r="K83">
        <v>0</v>
      </c>
      <c r="L83">
        <v>2</v>
      </c>
      <c r="O83" t="str">
        <f t="shared" si="3"/>
        <v/>
      </c>
    </row>
    <row r="84" spans="1:15" ht="69" x14ac:dyDescent="0.25">
      <c r="A84" t="s">
        <v>378</v>
      </c>
      <c r="B84" s="4" t="s">
        <v>379</v>
      </c>
      <c r="C84" t="s">
        <v>370</v>
      </c>
      <c r="D84" s="4" t="s">
        <v>380</v>
      </c>
      <c r="E84" t="s">
        <v>21</v>
      </c>
      <c r="F84">
        <v>900083</v>
      </c>
      <c r="G84" s="4" t="s">
        <v>381</v>
      </c>
      <c r="I84" t="s">
        <v>467</v>
      </c>
      <c r="J84">
        <v>1</v>
      </c>
      <c r="K84">
        <v>0</v>
      </c>
      <c r="L84">
        <v>2</v>
      </c>
      <c r="O84" t="str">
        <f t="shared" si="3"/>
        <v/>
      </c>
    </row>
    <row r="85" spans="1:15" ht="69" x14ac:dyDescent="0.25">
      <c r="A85" t="s">
        <v>382</v>
      </c>
      <c r="B85" s="4" t="s">
        <v>383</v>
      </c>
      <c r="C85" t="s">
        <v>370</v>
      </c>
      <c r="D85" s="4" t="s">
        <v>384</v>
      </c>
      <c r="E85" t="s">
        <v>21</v>
      </c>
      <c r="F85">
        <v>900084</v>
      </c>
      <c r="G85" s="4" t="s">
        <v>385</v>
      </c>
      <c r="I85" t="s">
        <v>467</v>
      </c>
      <c r="J85">
        <v>1</v>
      </c>
      <c r="K85">
        <v>1</v>
      </c>
      <c r="L85">
        <v>2</v>
      </c>
      <c r="M85" t="s">
        <v>260</v>
      </c>
      <c r="O85" t="str">
        <f t="shared" si="3"/>
        <v/>
      </c>
    </row>
    <row r="86" spans="1:15" ht="82.8" x14ac:dyDescent="0.25">
      <c r="A86" t="s">
        <v>386</v>
      </c>
      <c r="B86" s="4" t="s">
        <v>387</v>
      </c>
      <c r="C86" t="s">
        <v>370</v>
      </c>
      <c r="D86" s="4" t="s">
        <v>388</v>
      </c>
      <c r="E86" t="s">
        <v>21</v>
      </c>
      <c r="F86">
        <v>900085</v>
      </c>
      <c r="G86" s="4" t="s">
        <v>389</v>
      </c>
      <c r="I86" t="s">
        <v>467</v>
      </c>
      <c r="J86">
        <v>1</v>
      </c>
      <c r="K86">
        <v>1</v>
      </c>
      <c r="L86">
        <v>2</v>
      </c>
      <c r="M86" t="s">
        <v>260</v>
      </c>
      <c r="O86" t="str">
        <f t="shared" si="3"/>
        <v/>
      </c>
    </row>
    <row r="87" spans="1:15" ht="96.6" x14ac:dyDescent="0.25">
      <c r="A87" t="s">
        <v>390</v>
      </c>
      <c r="B87" s="4" t="s">
        <v>391</v>
      </c>
      <c r="C87" t="s">
        <v>370</v>
      </c>
      <c r="D87" s="4" t="s">
        <v>392</v>
      </c>
      <c r="E87" t="s">
        <v>21</v>
      </c>
      <c r="F87">
        <v>900086</v>
      </c>
      <c r="G87" s="4" t="s">
        <v>393</v>
      </c>
      <c r="I87" t="s">
        <v>467</v>
      </c>
      <c r="J87">
        <v>1</v>
      </c>
      <c r="K87">
        <v>1</v>
      </c>
      <c r="L87">
        <v>2</v>
      </c>
      <c r="M87" t="s">
        <v>260</v>
      </c>
      <c r="O87" t="str">
        <f t="shared" si="3"/>
        <v/>
      </c>
    </row>
    <row r="88" spans="1:15" ht="69" x14ac:dyDescent="0.25">
      <c r="A88" t="s">
        <v>394</v>
      </c>
      <c r="B88" s="4" t="s">
        <v>395</v>
      </c>
      <c r="C88" t="s">
        <v>370</v>
      </c>
      <c r="D88" s="4" t="s">
        <v>396</v>
      </c>
      <c r="E88" t="s">
        <v>21</v>
      </c>
      <c r="F88">
        <v>900087</v>
      </c>
      <c r="G88" s="4" t="s">
        <v>397</v>
      </c>
      <c r="I88" t="s">
        <v>467</v>
      </c>
      <c r="J88">
        <v>1</v>
      </c>
      <c r="K88">
        <v>1</v>
      </c>
      <c r="L88">
        <v>2</v>
      </c>
      <c r="M88" t="s">
        <v>260</v>
      </c>
      <c r="O88" t="str">
        <f t="shared" si="3"/>
        <v/>
      </c>
    </row>
    <row r="89" spans="1:15" ht="82.8" x14ac:dyDescent="0.25">
      <c r="A89" t="s">
        <v>398</v>
      </c>
      <c r="B89" s="4" t="s">
        <v>399</v>
      </c>
      <c r="C89" t="s">
        <v>370</v>
      </c>
      <c r="D89" s="4" t="s">
        <v>400</v>
      </c>
      <c r="E89" t="s">
        <v>21</v>
      </c>
      <c r="F89">
        <v>900088</v>
      </c>
      <c r="G89" s="4" t="s">
        <v>401</v>
      </c>
      <c r="I89" t="s">
        <v>37</v>
      </c>
      <c r="J89">
        <v>1</v>
      </c>
      <c r="K89">
        <v>2</v>
      </c>
      <c r="L89">
        <v>2</v>
      </c>
      <c r="M89" t="s">
        <v>400</v>
      </c>
      <c r="O89" t="str">
        <f t="shared" si="3"/>
        <v/>
      </c>
    </row>
    <row r="90" spans="1:15" ht="41.4" x14ac:dyDescent="0.25">
      <c r="A90" t="s">
        <v>402</v>
      </c>
      <c r="B90" s="4" t="s">
        <v>403</v>
      </c>
      <c r="C90" t="s">
        <v>370</v>
      </c>
      <c r="D90" s="4" t="s">
        <v>404</v>
      </c>
      <c r="E90" t="s">
        <v>177</v>
      </c>
      <c r="F90">
        <v>900089</v>
      </c>
      <c r="G90" s="4" t="s">
        <v>405</v>
      </c>
      <c r="I90" t="s">
        <v>467</v>
      </c>
      <c r="J90">
        <v>1</v>
      </c>
      <c r="K90">
        <v>0</v>
      </c>
      <c r="L90">
        <v>2</v>
      </c>
      <c r="O90" t="str">
        <f t="shared" si="3"/>
        <v/>
      </c>
    </row>
    <row r="91" spans="1:15" ht="96.6" x14ac:dyDescent="0.25">
      <c r="A91" t="s">
        <v>406</v>
      </c>
      <c r="B91" s="4" t="s">
        <v>407</v>
      </c>
      <c r="C91" t="s">
        <v>370</v>
      </c>
      <c r="D91" s="4" t="s">
        <v>408</v>
      </c>
      <c r="E91" t="s">
        <v>21</v>
      </c>
      <c r="F91">
        <v>900090</v>
      </c>
      <c r="G91" s="4" t="s">
        <v>409</v>
      </c>
      <c r="I91" t="s">
        <v>467</v>
      </c>
      <c r="J91">
        <v>1</v>
      </c>
      <c r="K91">
        <v>1</v>
      </c>
      <c r="L91">
        <v>2</v>
      </c>
      <c r="M91" t="s">
        <v>410</v>
      </c>
      <c r="O91" t="str">
        <f t="shared" si="3"/>
        <v/>
      </c>
    </row>
    <row r="92" spans="1:15" ht="82.8" x14ac:dyDescent="0.25">
      <c r="A92" t="s">
        <v>411</v>
      </c>
      <c r="B92" s="4" t="s">
        <v>412</v>
      </c>
      <c r="C92" t="s">
        <v>182</v>
      </c>
      <c r="D92" s="4" t="s">
        <v>413</v>
      </c>
      <c r="E92" t="s">
        <v>89</v>
      </c>
      <c r="F92">
        <v>900091</v>
      </c>
      <c r="G92" s="4" t="s">
        <v>414</v>
      </c>
      <c r="I92" t="s">
        <v>467</v>
      </c>
      <c r="J92">
        <v>1</v>
      </c>
      <c r="K92">
        <v>0</v>
      </c>
      <c r="L92">
        <v>2</v>
      </c>
      <c r="O92" t="str">
        <f t="shared" si="3"/>
        <v/>
      </c>
    </row>
    <row r="93" spans="1:15" ht="69" x14ac:dyDescent="0.25">
      <c r="A93" t="s">
        <v>415</v>
      </c>
      <c r="B93" s="4" t="s">
        <v>416</v>
      </c>
      <c r="C93" t="s">
        <v>182</v>
      </c>
      <c r="D93" s="4" t="s">
        <v>417</v>
      </c>
      <c r="E93" t="s">
        <v>89</v>
      </c>
      <c r="F93">
        <v>900092</v>
      </c>
      <c r="G93" s="4" t="s">
        <v>418</v>
      </c>
      <c r="I93" t="s">
        <v>467</v>
      </c>
      <c r="J93">
        <v>1</v>
      </c>
      <c r="K93">
        <v>1</v>
      </c>
      <c r="L93">
        <v>2</v>
      </c>
      <c r="M93" t="s">
        <v>260</v>
      </c>
      <c r="O93" t="str">
        <f t="shared" si="3"/>
        <v/>
      </c>
    </row>
    <row r="94" spans="1:15" ht="69" x14ac:dyDescent="0.25">
      <c r="A94" t="s">
        <v>419</v>
      </c>
      <c r="B94" s="4" t="s">
        <v>420</v>
      </c>
      <c r="C94" t="s">
        <v>182</v>
      </c>
      <c r="D94" s="4" t="s">
        <v>421</v>
      </c>
      <c r="E94" t="s">
        <v>89</v>
      </c>
      <c r="F94">
        <v>900093</v>
      </c>
      <c r="G94" s="4" t="s">
        <v>422</v>
      </c>
      <c r="I94" t="s">
        <v>467</v>
      </c>
      <c r="J94">
        <v>1</v>
      </c>
      <c r="K94">
        <v>0</v>
      </c>
      <c r="L94">
        <v>2</v>
      </c>
      <c r="O94" t="str">
        <f t="shared" si="3"/>
        <v/>
      </c>
    </row>
    <row r="95" spans="1:15" ht="110.4" x14ac:dyDescent="0.25">
      <c r="A95" t="s">
        <v>423</v>
      </c>
      <c r="B95" s="4" t="s">
        <v>424</v>
      </c>
      <c r="C95" t="s">
        <v>182</v>
      </c>
      <c r="D95" s="4" t="s">
        <v>425</v>
      </c>
      <c r="E95" t="s">
        <v>89</v>
      </c>
      <c r="F95">
        <v>900094</v>
      </c>
      <c r="G95" s="4" t="s">
        <v>426</v>
      </c>
      <c r="I95" t="s">
        <v>467</v>
      </c>
      <c r="J95">
        <v>1</v>
      </c>
      <c r="K95">
        <v>0</v>
      </c>
      <c r="L95">
        <v>2</v>
      </c>
      <c r="O95" t="str">
        <f t="shared" si="3"/>
        <v/>
      </c>
    </row>
    <row r="96" spans="1:15" ht="124.2" x14ac:dyDescent="0.25">
      <c r="A96" t="s">
        <v>427</v>
      </c>
      <c r="B96" s="4" t="s">
        <v>428</v>
      </c>
      <c r="C96" t="s">
        <v>182</v>
      </c>
      <c r="D96" s="4" t="s">
        <v>429</v>
      </c>
      <c r="E96" t="s">
        <v>89</v>
      </c>
      <c r="F96">
        <v>900095</v>
      </c>
      <c r="G96" s="4" t="s">
        <v>430</v>
      </c>
      <c r="I96" t="s">
        <v>467</v>
      </c>
      <c r="J96">
        <v>1</v>
      </c>
      <c r="K96">
        <v>0</v>
      </c>
      <c r="L96">
        <v>2</v>
      </c>
      <c r="O96" t="str">
        <f t="shared" si="3"/>
        <v/>
      </c>
    </row>
    <row r="97" spans="1:15" ht="69" x14ac:dyDescent="0.25">
      <c r="A97" t="s">
        <v>431</v>
      </c>
      <c r="B97" s="4" t="s">
        <v>432</v>
      </c>
      <c r="C97" t="s">
        <v>182</v>
      </c>
      <c r="D97" s="4" t="s">
        <v>433</v>
      </c>
      <c r="E97" t="s">
        <v>21</v>
      </c>
      <c r="F97">
        <v>900096</v>
      </c>
      <c r="G97" s="4" t="s">
        <v>434</v>
      </c>
      <c r="I97" t="s">
        <v>467</v>
      </c>
      <c r="J97">
        <v>1</v>
      </c>
      <c r="K97">
        <v>0</v>
      </c>
      <c r="L97">
        <v>2</v>
      </c>
      <c r="O97" t="str">
        <f t="shared" si="3"/>
        <v/>
      </c>
    </row>
    <row r="98" spans="1:15" ht="69" x14ac:dyDescent="0.25">
      <c r="A98" t="s">
        <v>435</v>
      </c>
      <c r="B98" s="4" t="s">
        <v>436</v>
      </c>
      <c r="C98" t="s">
        <v>437</v>
      </c>
      <c r="D98" s="4" t="s">
        <v>438</v>
      </c>
      <c r="E98" t="s">
        <v>21</v>
      </c>
      <c r="F98">
        <v>900097</v>
      </c>
      <c r="G98" s="4" t="s">
        <v>439</v>
      </c>
      <c r="I98" t="s">
        <v>467</v>
      </c>
      <c r="J98">
        <v>1</v>
      </c>
      <c r="K98">
        <v>1</v>
      </c>
      <c r="L98">
        <v>2</v>
      </c>
      <c r="M98" t="s">
        <v>260</v>
      </c>
      <c r="O98" t="str">
        <f t="shared" si="3"/>
        <v/>
      </c>
    </row>
    <row r="99" spans="1:15" ht="55.2" x14ac:dyDescent="0.25">
      <c r="A99" t="s">
        <v>440</v>
      </c>
      <c r="B99" s="4" t="s">
        <v>441</v>
      </c>
      <c r="C99" t="s">
        <v>437</v>
      </c>
      <c r="D99" s="4" t="s">
        <v>442</v>
      </c>
      <c r="E99" t="s">
        <v>89</v>
      </c>
      <c r="F99">
        <v>900098</v>
      </c>
      <c r="G99" s="4" t="s">
        <v>443</v>
      </c>
      <c r="I99" t="s">
        <v>467</v>
      </c>
      <c r="J99">
        <v>1</v>
      </c>
      <c r="K99">
        <v>1</v>
      </c>
      <c r="L99">
        <v>2</v>
      </c>
      <c r="M99" t="s">
        <v>260</v>
      </c>
      <c r="O99" t="str">
        <f t="shared" ref="O99:O130" si="4">IF(N99="正确",1,IF(N99="部分正确",0.5,IF(N99="错误",0,"")))</f>
        <v/>
      </c>
    </row>
    <row r="100" spans="1:15" ht="55.2" x14ac:dyDescent="0.25">
      <c r="A100" t="s">
        <v>444</v>
      </c>
      <c r="B100" s="4" t="s">
        <v>445</v>
      </c>
      <c r="C100" t="s">
        <v>437</v>
      </c>
      <c r="D100" s="4" t="s">
        <v>446</v>
      </c>
      <c r="E100" t="s">
        <v>89</v>
      </c>
      <c r="F100">
        <v>900099</v>
      </c>
      <c r="G100" s="4" t="s">
        <v>447</v>
      </c>
      <c r="I100" t="s">
        <v>467</v>
      </c>
      <c r="J100">
        <v>1</v>
      </c>
      <c r="K100">
        <v>1</v>
      </c>
      <c r="L100">
        <v>2</v>
      </c>
      <c r="M100" t="s">
        <v>260</v>
      </c>
      <c r="O100" t="str">
        <f t="shared" si="4"/>
        <v/>
      </c>
    </row>
    <row r="101" spans="1:15" ht="82.8" x14ac:dyDescent="0.25">
      <c r="A101" t="s">
        <v>448</v>
      </c>
      <c r="B101" s="4" t="s">
        <v>449</v>
      </c>
      <c r="C101" t="s">
        <v>437</v>
      </c>
      <c r="D101" s="4" t="s">
        <v>450</v>
      </c>
      <c r="E101" t="s">
        <v>89</v>
      </c>
      <c r="F101">
        <v>900100</v>
      </c>
      <c r="G101" s="4" t="s">
        <v>451</v>
      </c>
      <c r="I101" t="s">
        <v>467</v>
      </c>
      <c r="J101">
        <v>1</v>
      </c>
      <c r="K101">
        <v>1</v>
      </c>
      <c r="L101">
        <v>2</v>
      </c>
      <c r="M101" t="s">
        <v>260</v>
      </c>
      <c r="O101" t="str">
        <f t="shared" si="4"/>
        <v/>
      </c>
    </row>
    <row r="1048576" spans="10:10" x14ac:dyDescent="0.25">
      <c r="J1048576">
        <f>SUM(J2:J1048575)</f>
        <v>98</v>
      </c>
    </row>
  </sheetData>
  <phoneticPr fontId="1" type="noConversion"/>
  <conditionalFormatting sqref="I2:I101">
    <cfRule type="cellIs" dxfId="6" priority="4" stopIfTrue="1" operator="equal">
      <formula>"正确"</formula>
    </cfRule>
    <cfRule type="cellIs" dxfId="5" priority="5" stopIfTrue="1" operator="equal">
      <formula>"部分正确"</formula>
    </cfRule>
    <cfRule type="cellIs" dxfId="4" priority="6" stopIfTrue="1" operator="equal">
      <formula>"错误"</formula>
    </cfRule>
    <cfRule type="cellIs" dxfId="3" priority="7" stopIfTrue="1" operator="equal">
      <formula>"请求失败"</formula>
    </cfRule>
  </conditionalFormatting>
  <conditionalFormatting sqref="N2:N101">
    <cfRule type="cellIs" dxfId="2" priority="1" stopIfTrue="1" operator="equal">
      <formula>"正确"</formula>
    </cfRule>
    <cfRule type="cellIs" dxfId="1" priority="2" stopIfTrue="1" operator="equal">
      <formula>"部分正确"</formula>
    </cfRule>
    <cfRule type="cellIs" dxfId="0" priority="3" stopIfTrue="1" operator="equal">
      <formula>"错误"</formula>
    </cfRule>
  </conditionalFormatting>
  <dataValidations count="2">
    <dataValidation type="list" allowBlank="1" showInputMessage="1" showErrorMessage="1" sqref="N2:N101" xr:uid="{F3FCCCD5-7CEB-42B5-9BFE-D5F3D58C88E9}">
      <formula1>"正确,部分正确,错误"</formula1>
    </dataValidation>
    <dataValidation type="list" allowBlank="1" showInputMessage="1" showErrorMessage="1" sqref="H2:H101" xr:uid="{44CB7839-9657-46C1-884E-6427981724D3}">
      <formula1>"是,否,待确认"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QA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2655758731@qq.com</dc:creator>
  <cp:lastModifiedBy>2655758731@qq.com</cp:lastModifiedBy>
  <dcterms:created xsi:type="dcterms:W3CDTF">2026-03-11T08:29:09Z</dcterms:created>
  <dcterms:modified xsi:type="dcterms:W3CDTF">2026-03-11T09:16:57Z</dcterms:modified>
</cp:coreProperties>
</file>